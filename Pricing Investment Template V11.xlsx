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canamtech.sharepoint.com/sites/TellerSales2/Shared Documents/Pricing/Version 11/"/>
    </mc:Choice>
  </mc:AlternateContent>
  <xr:revisionPtr revIDLastSave="1217" documentId="13_ncr:1_{6F52644B-4E9F-DC48-80DD-44C531449913}" xr6:coauthVersionLast="47" xr6:coauthVersionMax="47" xr10:uidLastSave="{2F6567E0-41D8-40A9-80C7-6CC620048899}"/>
  <bookViews>
    <workbookView xWindow="-96" yWindow="-96" windowWidth="23232" windowHeight="13872" firstSheet="3" activeTab="3" xr2:uid="{693147ED-2946-004F-9D2E-D1C9B6CDEFAC}"/>
  </bookViews>
  <sheets>
    <sheet name="Parameters" sheetId="6" r:id="rId1"/>
    <sheet name="Notes for Approver" sheetId="18" r:id="rId2"/>
    <sheet name="Summation Costs" sheetId="29" r:id="rId3"/>
    <sheet name="Saas Costs" sheetId="30" r:id="rId4"/>
    <sheet name="Service Costs" sheetId="27" r:id="rId5"/>
    <sheet name="Hours By Role" sheetId="31" r:id="rId6"/>
    <sheet name="Travel Costs" sheetId="28" r:id="rId7"/>
    <sheet name="Equipment Breakdown" sheetId="12" r:id="rId8"/>
    <sheet name="Variables-Software" sheetId="21" r:id="rId9"/>
    <sheet name="Variables-Services" sheetId="22" r:id="rId10"/>
    <sheet name="VariablesandTravel" sheetId="25" r:id="rId11"/>
    <sheet name="Variables-Optional" sheetId="26" r:id="rId12"/>
    <sheet name="Assumptions" sheetId="19" r:id="rId13"/>
  </sheets>
  <externalReferences>
    <externalReference r:id="rId14"/>
  </externalReferences>
  <definedNames>
    <definedName name="_xlnm._FilterDatabase" localSheetId="3" hidden="1">'Saas Costs'!$A$5:$E$60</definedName>
    <definedName name="_Toc531375826" localSheetId="12">Assumptions!$A$1</definedName>
    <definedName name="Hourly_Rate" localSheetId="7">'Equipment Breakdown'!#REF!</definedName>
    <definedName name="Hourly_Rate" localSheetId="3">'Saas Costs'!#REF!</definedName>
    <definedName name="Hourly_Rate" localSheetId="4">'Service Costs'!#REF!</definedName>
    <definedName name="Hourly_Rate" localSheetId="2">'Summation Costs'!#REF!</definedName>
    <definedName name="Hourly_Rate" localSheetId="6">'Travel Costs'!#REF!</definedName>
    <definedName name="Hourly_Rate">#REF!</definedName>
    <definedName name="Parameters_AdditionalUsers">Parameters!$B$6</definedName>
    <definedName name="Parameters_BidirectionalInterfaceCount">Parameters!$B$41</definedName>
    <definedName name="Parameters_CheckRecognition_Active">Parameters!$B$13</definedName>
    <definedName name="Parameters_CheckRecognition_Scans">Parameters!$E$13</definedName>
    <definedName name="Parameters_CheckValidation_Active">Parameters!$B$14</definedName>
    <definedName name="Parameters_CreditIntegration_Active">Parameters!$B$22</definedName>
    <definedName name="Parameters_CreditIntegration_New">Parameters!$C$22</definedName>
    <definedName name="Parameters_Departments">Parameters!$B$7</definedName>
    <definedName name="Parameters_Edition">Parameters!$B$4</definedName>
    <definedName name="Parameters_ImageCashLetter_Active">Parameters!$B$15</definedName>
    <definedName name="Parameters_ImageCashLetter_New">Parameters!$C$15</definedName>
    <definedName name="Parameters_LengthOfProject">Parameters!$B$8</definedName>
    <definedName name="Parameters_NamedOrConcurrent">Parameters!$B$5</definedName>
    <definedName name="Parameters_OnCallSupport">Parameters!$B$10</definedName>
    <definedName name="Parameters_OnlineForm_Estimate">Parameters!$C$68</definedName>
    <definedName name="Parameters_OnlineFormCount">Parameters!$B$68</definedName>
    <definedName name="Parameters_OnlineFormWithWorkflow_Estimate">Parameters!$C$73</definedName>
    <definedName name="Parameters_OnlineFormWithWorkflowCount">Parameters!$B$73</definedName>
    <definedName name="Parameters_RevenueSubmission_Active">Parameters!$B$16</definedName>
    <definedName name="Parameters_RevenueSubmission_Submitters">Parameters!$E$16</definedName>
    <definedName name="Parameters_ShowPerDiemCosts">Parameters!#REF!</definedName>
    <definedName name="Parameters_TellerOnline_Active">Parameters!$B$18</definedName>
    <definedName name="Parameters_TellerOnline_Interfaces">Parameters!$D$41</definedName>
    <definedName name="Parameters_TellerOnline_Interfaces_New">Parameters!$E$41</definedName>
    <definedName name="Parameters_TellerOnline_Volume">Parameters!$E$18</definedName>
    <definedName name="Parameters_TravelZone">Parameters!$B$9</definedName>
    <definedName name="Parameters_Workflow_Active">Parameters!#REF!</definedName>
    <definedName name="Parameters_WorkflowSubmission_Active">Parameters!$B$17</definedName>
    <definedName name="Parameters_WorkflowSubmission_Workflows">Parameters!$E$17</definedName>
    <definedName name="SaaSUploadRate" localSheetId="12">'[1]Service Breakdown'!#REF!</definedName>
    <definedName name="SaaSUploadRate" localSheetId="7">'Equipment Breakdown'!#REF!</definedName>
    <definedName name="SaaSUploadRate" localSheetId="3">'Saas Costs'!#REF!</definedName>
    <definedName name="SaaSUploadRate" localSheetId="4">'Service Costs'!#REF!</definedName>
    <definedName name="SaaSUploadRate" localSheetId="2">'Summation Costs'!#REF!</definedName>
    <definedName name="SaaSUploadRate" localSheetId="6">'Travel Costs'!#REF!</definedName>
    <definedName name="SaaSUploadRate">#REF!</definedName>
    <definedName name="Services_BiDirectionalExistingImpl">'Variables-Services'!$D$54</definedName>
    <definedName name="Services_BiDirectionalExistingPlanning">'Variables-Services'!$D$23</definedName>
    <definedName name="Services_BiDirectionalNewImpl">'Variables-Services'!$D$55</definedName>
    <definedName name="Services_BiDirectionalNewPlanning">'Variables-Services'!$D$24</definedName>
    <definedName name="Services_HourlyRate">'Variables-Services'!$C$3</definedName>
    <definedName name="Services_PaymentImportExisting">'Variables-Services'!$D$25</definedName>
    <definedName name="Services_PaymentImportExistingImpl">'Variables-Services'!$D$56</definedName>
    <definedName name="Services_PaymentImportNew">'Variables-Services'!$D$26</definedName>
    <definedName name="Services_PaymentImportNewImpl">'Variables-Services'!$D$57</definedName>
    <definedName name="Software_BiDirectional">'Variables-Software'!$C$55</definedName>
    <definedName name="Software_ImageCashLetter_Minimum">'Variables-Software'!$C$19</definedName>
    <definedName name="Software_ImageCashLetter_PercentPricing">'Variables-Software'!$C$18</definedName>
    <definedName name="Software_OnlineInterface">'Variables-Software'!$C$56</definedName>
    <definedName name="Software_PaymentImport">'Variables-Software'!$C$57</definedName>
    <definedName name="Trip_Day_Cost" localSheetId="7">'Equipment Breakdown'!#REF!</definedName>
    <definedName name="Trip_Day_Cost" localSheetId="3">'Saas Costs'!#REF!</definedName>
    <definedName name="Trip_Day_Cost" localSheetId="4">'Service Costs'!#REF!</definedName>
    <definedName name="Trip_Day_Cost" localSheetId="2">'Summation Costs'!#REF!</definedName>
    <definedName name="Trip_Day_Cost" localSheetId="6">'Travel Costs'!#REF!</definedName>
    <definedName name="Trip_Day_Cost">#REF!</definedName>
    <definedName name="Trip_Travel" localSheetId="7">'Equipment Breakdown'!#REF!</definedName>
    <definedName name="Trip_Travel" localSheetId="3">'Saas Costs'!#REF!</definedName>
    <definedName name="Trip_Travel" localSheetId="4">'Service Costs'!#REF!</definedName>
    <definedName name="Trip_Travel" localSheetId="2">'Summation Costs'!#REF!</definedName>
    <definedName name="Trip_Travel" localSheetId="6">'Travel Costs'!#REF!</definedName>
    <definedName name="Trip_Travel">#REF!</definedName>
    <definedName name="Trip_Travel_Time_Cost" localSheetId="7">'Equipment Breakdown'!#REF!</definedName>
    <definedName name="Trip_Travel_Time_Cost" localSheetId="3">'Saas Costs'!#REF!</definedName>
    <definedName name="Trip_Travel_Time_Cost" localSheetId="4">'Service Costs'!#REF!</definedName>
    <definedName name="Trip_Travel_Time_Cost" localSheetId="2">'Summation Costs'!#REF!</definedName>
    <definedName name="Trip_Travel_Time_Cost" localSheetId="6">'Travel Costs'!#REF!</definedName>
    <definedName name="Trip_Travel_Time_Co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1" l="1"/>
  <c r="A22" i="30"/>
  <c r="B22" i="30"/>
  <c r="C22" i="30"/>
  <c r="A23" i="30"/>
  <c r="B23" i="30"/>
  <c r="C23" i="30"/>
  <c r="A24" i="30"/>
  <c r="B24" i="30"/>
  <c r="C24" i="30"/>
  <c r="A25" i="30"/>
  <c r="B25" i="30"/>
  <c r="C25" i="30"/>
  <c r="A26" i="30"/>
  <c r="B26" i="30"/>
  <c r="C26" i="30"/>
  <c r="A27" i="30"/>
  <c r="B27" i="30"/>
  <c r="C27" i="30"/>
  <c r="A28" i="30"/>
  <c r="B28" i="30"/>
  <c r="C28" i="30"/>
  <c r="A29" i="30"/>
  <c r="B29" i="30"/>
  <c r="C29" i="30"/>
  <c r="A30" i="30"/>
  <c r="B30" i="30"/>
  <c r="C30" i="30"/>
  <c r="A31" i="30"/>
  <c r="B31" i="30"/>
  <c r="C31" i="30"/>
  <c r="A32" i="30"/>
  <c r="B32" i="30"/>
  <c r="C32" i="30"/>
  <c r="A33" i="30"/>
  <c r="B33" i="30"/>
  <c r="C33" i="30"/>
  <c r="A34" i="30"/>
  <c r="B34" i="30"/>
  <c r="C34" i="30"/>
  <c r="A35" i="30"/>
  <c r="B35" i="30"/>
  <c r="C35" i="30"/>
  <c r="A21" i="30"/>
  <c r="B21" i="30"/>
  <c r="C21" i="30"/>
  <c r="B41" i="6"/>
  <c r="B6" i="27"/>
  <c r="D9" i="22"/>
  <c r="E43" i="21"/>
  <c r="E42" i="21"/>
  <c r="E41" i="21"/>
  <c r="F41" i="21"/>
  <c r="E40" i="21"/>
  <c r="E39" i="21"/>
  <c r="E38" i="21"/>
  <c r="E37" i="21"/>
  <c r="E36" i="21"/>
  <c r="E35" i="21"/>
  <c r="E34" i="21"/>
  <c r="E33" i="21"/>
  <c r="F35" i="21"/>
  <c r="F36" i="21"/>
  <c r="F37" i="21"/>
  <c r="F38" i="21"/>
  <c r="F39" i="21"/>
  <c r="F40" i="21"/>
  <c r="F42" i="21"/>
  <c r="E32" i="21"/>
  <c r="F33" i="21"/>
  <c r="F34" i="21"/>
  <c r="F43" i="21"/>
  <c r="F32" i="21"/>
  <c r="E10" i="21"/>
  <c r="E11" i="21"/>
  <c r="E12" i="21"/>
  <c r="E13" i="21"/>
  <c r="E14" i="21"/>
  <c r="E15" i="21"/>
  <c r="E9" i="21"/>
  <c r="B51" i="30"/>
  <c r="C51" i="30"/>
  <c r="A51" i="30"/>
  <c r="B50" i="30"/>
  <c r="C50" i="30"/>
  <c r="A50" i="30"/>
  <c r="B49" i="30"/>
  <c r="C49" i="30"/>
  <c r="A49" i="30"/>
  <c r="B48" i="30"/>
  <c r="C48" i="30"/>
  <c r="A48" i="30"/>
  <c r="B47" i="30"/>
  <c r="C47" i="30"/>
  <c r="A47" i="30"/>
  <c r="B46" i="30"/>
  <c r="C46" i="30"/>
  <c r="A46" i="30"/>
  <c r="B45" i="30"/>
  <c r="C45" i="30"/>
  <c r="A45" i="30"/>
  <c r="B44" i="30"/>
  <c r="C44" i="30"/>
  <c r="A44" i="30"/>
  <c r="B43" i="30"/>
  <c r="C43" i="30"/>
  <c r="A43" i="30"/>
  <c r="B38" i="30"/>
  <c r="B39" i="30"/>
  <c r="B40" i="30"/>
  <c r="B41" i="30"/>
  <c r="B42" i="30"/>
  <c r="B37" i="30"/>
  <c r="B20" i="30"/>
  <c r="A30" i="27"/>
  <c r="A29" i="27"/>
  <c r="A28" i="27"/>
  <c r="A27" i="27"/>
  <c r="A26" i="27"/>
  <c r="I46" i="6"/>
  <c r="I47" i="6"/>
  <c r="I48" i="6"/>
  <c r="I49" i="6"/>
  <c r="I50" i="6"/>
  <c r="I51" i="6"/>
  <c r="I52" i="6"/>
  <c r="B38" i="27"/>
  <c r="C38" i="27"/>
  <c r="D38" i="27"/>
  <c r="I53" i="6"/>
  <c r="I54" i="6"/>
  <c r="I55" i="6"/>
  <c r="I56" i="6"/>
  <c r="B42" i="27"/>
  <c r="C42" i="27"/>
  <c r="D42" i="27"/>
  <c r="I57" i="6"/>
  <c r="F43" i="27"/>
  <c r="G43" i="27"/>
  <c r="H43" i="27"/>
  <c r="I58" i="6"/>
  <c r="B44" i="27"/>
  <c r="C44" i="27"/>
  <c r="D44" i="27"/>
  <c r="I59" i="6"/>
  <c r="B45" i="27"/>
  <c r="C45" i="27"/>
  <c r="D45" i="27"/>
  <c r="I45" i="6"/>
  <c r="B61" i="6"/>
  <c r="E41" i="6"/>
  <c r="D41" i="6"/>
  <c r="K19" i="6" s="1"/>
  <c r="K10" i="6" s="1"/>
  <c r="K8" i="6" s="1"/>
  <c r="L8" i="6" s="1"/>
  <c r="C41" i="6"/>
  <c r="I39" i="6"/>
  <c r="F30" i="27"/>
  <c r="G30" i="27"/>
  <c r="H30" i="27"/>
  <c r="I38" i="6"/>
  <c r="F29" i="27"/>
  <c r="G29" i="27"/>
  <c r="H29" i="27"/>
  <c r="I37" i="6"/>
  <c r="B28" i="27"/>
  <c r="C28" i="27"/>
  <c r="D28" i="27"/>
  <c r="I36" i="6"/>
  <c r="F27" i="27"/>
  <c r="G27" i="27"/>
  <c r="H27" i="27"/>
  <c r="I35" i="6"/>
  <c r="B26" i="27"/>
  <c r="C26" i="27"/>
  <c r="D26" i="27"/>
  <c r="A32" i="27"/>
  <c r="A33" i="27"/>
  <c r="A34" i="27"/>
  <c r="A35" i="27"/>
  <c r="A36" i="27"/>
  <c r="A37" i="27"/>
  <c r="A38" i="27"/>
  <c r="A39" i="27"/>
  <c r="A40" i="27"/>
  <c r="A41" i="27"/>
  <c r="A42" i="27"/>
  <c r="A43" i="27"/>
  <c r="A44" i="27"/>
  <c r="A45" i="27"/>
  <c r="A17" i="27"/>
  <c r="A18" i="27"/>
  <c r="A19" i="27"/>
  <c r="A20" i="27"/>
  <c r="A21" i="27"/>
  <c r="A22" i="27"/>
  <c r="A23" i="27"/>
  <c r="A24" i="27"/>
  <c r="A25" i="27"/>
  <c r="F26" i="27"/>
  <c r="G26" i="27"/>
  <c r="H26" i="27"/>
  <c r="F44" i="27"/>
  <c r="G44" i="27"/>
  <c r="H44" i="27"/>
  <c r="F28" i="27"/>
  <c r="G28" i="27"/>
  <c r="H28" i="27"/>
  <c r="B29" i="27"/>
  <c r="C29" i="27"/>
  <c r="D29" i="27"/>
  <c r="B30" i="27"/>
  <c r="C30" i="27"/>
  <c r="D30" i="27"/>
  <c r="B27" i="27"/>
  <c r="C27" i="27"/>
  <c r="D27" i="27"/>
  <c r="B43" i="27"/>
  <c r="C43" i="27"/>
  <c r="D43" i="27"/>
  <c r="F42" i="27"/>
  <c r="G42" i="27"/>
  <c r="H42" i="27"/>
  <c r="F45" i="27"/>
  <c r="G45" i="27"/>
  <c r="H45" i="27"/>
  <c r="F38" i="27"/>
  <c r="G38" i="27"/>
  <c r="H38" i="27"/>
  <c r="I32" i="6"/>
  <c r="I31" i="6"/>
  <c r="I30" i="6"/>
  <c r="I29" i="6"/>
  <c r="I33" i="6"/>
  <c r="B53" i="30"/>
  <c r="C53" i="30" s="1"/>
  <c r="B39" i="27"/>
  <c r="C39" i="27"/>
  <c r="D39" i="27"/>
  <c r="F39" i="27"/>
  <c r="G39" i="27"/>
  <c r="H39" i="27"/>
  <c r="B40" i="27"/>
  <c r="C40" i="27"/>
  <c r="D40" i="27"/>
  <c r="F40" i="27"/>
  <c r="G40" i="27"/>
  <c r="H40" i="27"/>
  <c r="B41" i="27"/>
  <c r="C41" i="27"/>
  <c r="D41" i="27"/>
  <c r="F41" i="27"/>
  <c r="G41" i="27"/>
  <c r="H41" i="27"/>
  <c r="F22" i="27"/>
  <c r="G22" i="27"/>
  <c r="H22" i="27"/>
  <c r="B22" i="27"/>
  <c r="C22" i="27"/>
  <c r="D22" i="27"/>
  <c r="B23" i="27"/>
  <c r="C23" i="27"/>
  <c r="D23" i="27"/>
  <c r="F23" i="27"/>
  <c r="G23" i="27"/>
  <c r="H23" i="27"/>
  <c r="F21" i="27"/>
  <c r="G21" i="27"/>
  <c r="H21" i="27"/>
  <c r="B21" i="27"/>
  <c r="C21" i="27"/>
  <c r="D21" i="27"/>
  <c r="F24" i="27"/>
  <c r="G24" i="27"/>
  <c r="H24" i="27"/>
  <c r="B24" i="27"/>
  <c r="C24" i="27"/>
  <c r="D24" i="27"/>
  <c r="B20" i="27"/>
  <c r="C20" i="27"/>
  <c r="D20" i="27"/>
  <c r="F20" i="27"/>
  <c r="G20" i="27"/>
  <c r="H20" i="27"/>
  <c r="A53" i="30"/>
  <c r="K12" i="6"/>
  <c r="J6" i="27"/>
  <c r="C72" i="6"/>
  <c r="C71" i="6"/>
  <c r="C70" i="6"/>
  <c r="C73" i="6" s="1"/>
  <c r="C67" i="6"/>
  <c r="C66" i="6"/>
  <c r="C65" i="6"/>
  <c r="C68" i="6" s="1"/>
  <c r="B73" i="6"/>
  <c r="B18" i="30"/>
  <c r="B68" i="6"/>
  <c r="A16" i="30"/>
  <c r="B8" i="30"/>
  <c r="C8" i="30"/>
  <c r="B7" i="30"/>
  <c r="B14" i="30"/>
  <c r="C14" i="30"/>
  <c r="B15" i="30"/>
  <c r="A15" i="30"/>
  <c r="A14" i="30"/>
  <c r="K17" i="6"/>
  <c r="A12" i="30"/>
  <c r="B17" i="30"/>
  <c r="C17" i="30" s="1"/>
  <c r="A12" i="27"/>
  <c r="A18" i="30"/>
  <c r="A17" i="30"/>
  <c r="R12" i="27"/>
  <c r="L32" i="31"/>
  <c r="F32" i="31"/>
  <c r="A32" i="31"/>
  <c r="L31" i="31"/>
  <c r="F31" i="31"/>
  <c r="A31" i="31"/>
  <c r="L30" i="31"/>
  <c r="F30" i="31"/>
  <c r="A30" i="31"/>
  <c r="J29" i="31"/>
  <c r="F29" i="31"/>
  <c r="A29" i="31"/>
  <c r="J28" i="31"/>
  <c r="F28" i="31"/>
  <c r="A28" i="31"/>
  <c r="J27" i="31"/>
  <c r="F27" i="31"/>
  <c r="A27" i="31"/>
  <c r="J26" i="31"/>
  <c r="F26" i="31"/>
  <c r="A26" i="31"/>
  <c r="J25" i="31"/>
  <c r="F25" i="31"/>
  <c r="A25" i="31"/>
  <c r="J24" i="31"/>
  <c r="F24" i="31"/>
  <c r="A24" i="31"/>
  <c r="J23" i="31"/>
  <c r="F23" i="31"/>
  <c r="A23" i="31"/>
  <c r="J22" i="31"/>
  <c r="F22" i="31"/>
  <c r="A22" i="31"/>
  <c r="F21" i="31"/>
  <c r="A21" i="31"/>
  <c r="F20" i="31"/>
  <c r="A20" i="31"/>
  <c r="F19" i="31"/>
  <c r="A19" i="31"/>
  <c r="F18" i="31"/>
  <c r="A18" i="31"/>
  <c r="F17" i="31"/>
  <c r="A17" i="31"/>
  <c r="A16" i="31"/>
  <c r="A15" i="31"/>
  <c r="L14" i="31"/>
  <c r="F14" i="31"/>
  <c r="A14" i="31"/>
  <c r="K13" i="31"/>
  <c r="J13" i="31"/>
  <c r="J12" i="31"/>
  <c r="B12" i="31"/>
  <c r="A12" i="31"/>
  <c r="H11" i="31"/>
  <c r="B11" i="31"/>
  <c r="A11" i="31"/>
  <c r="F10" i="31"/>
  <c r="A10" i="31"/>
  <c r="J9" i="31"/>
  <c r="B9" i="31"/>
  <c r="A9" i="31"/>
  <c r="C51" i="31" a="1"/>
  <c r="C51" i="31"/>
  <c r="F10" i="27"/>
  <c r="A6" i="19"/>
  <c r="A12" i="22"/>
  <c r="A10" i="27"/>
  <c r="A5" i="19"/>
  <c r="A11" i="22"/>
  <c r="A9" i="27"/>
  <c r="A13" i="30"/>
  <c r="A4" i="19"/>
  <c r="A10" i="22"/>
  <c r="A11" i="30"/>
  <c r="F7" i="27"/>
  <c r="B10" i="27"/>
  <c r="B9" i="27"/>
  <c r="C9" i="27"/>
  <c r="D9" i="27"/>
  <c r="L14" i="27"/>
  <c r="L13" i="27"/>
  <c r="G10" i="31"/>
  <c r="A8" i="19"/>
  <c r="A7" i="19"/>
  <c r="A16" i="22"/>
  <c r="A15" i="22"/>
  <c r="A11" i="27"/>
  <c r="B11" i="30"/>
  <c r="C11" i="30" s="1"/>
  <c r="B13" i="30" s="1"/>
  <c r="C13" i="30" s="1"/>
  <c r="B12" i="30"/>
  <c r="C12" i="30" s="1"/>
  <c r="B6" i="30"/>
  <c r="G7" i="27"/>
  <c r="C33" i="21"/>
  <c r="C34" i="21"/>
  <c r="C35" i="21"/>
  <c r="C36" i="21"/>
  <c r="C37" i="21"/>
  <c r="C38" i="21"/>
  <c r="C39" i="21"/>
  <c r="C40" i="21"/>
  <c r="C41" i="21"/>
  <c r="C42" i="21"/>
  <c r="C43" i="21"/>
  <c r="H7" i="27"/>
  <c r="I7" i="31"/>
  <c r="A13" i="27"/>
  <c r="F20" i="12"/>
  <c r="F13" i="12"/>
  <c r="F12" i="12"/>
  <c r="C4" i="25"/>
  <c r="C3" i="25"/>
  <c r="C10" i="30"/>
  <c r="C9" i="30"/>
  <c r="A1" i="29"/>
  <c r="C57" i="30"/>
  <c r="C56" i="30"/>
  <c r="C55" i="30"/>
  <c r="C42" i="30"/>
  <c r="A42" i="30"/>
  <c r="C41" i="30"/>
  <c r="A41" i="30"/>
  <c r="C40" i="30"/>
  <c r="C39" i="30"/>
  <c r="C38" i="30"/>
  <c r="C37" i="30"/>
  <c r="C20" i="30"/>
  <c r="C6" i="30"/>
  <c r="C15" i="30"/>
  <c r="C7" i="30"/>
  <c r="A1" i="30"/>
  <c r="A40" i="30"/>
  <c r="A39" i="30"/>
  <c r="A38" i="30"/>
  <c r="A37" i="30"/>
  <c r="A20" i="30"/>
  <c r="D38" i="25"/>
  <c r="D37" i="25"/>
  <c r="D36" i="25"/>
  <c r="D34" i="25"/>
  <c r="D33" i="25"/>
  <c r="D32" i="25"/>
  <c r="D29" i="25"/>
  <c r="D28" i="25"/>
  <c r="C41" i="25"/>
  <c r="D26" i="25"/>
  <c r="D25" i="25"/>
  <c r="D24" i="25"/>
  <c r="D42" i="25"/>
  <c r="G48" i="27"/>
  <c r="G47" i="27"/>
  <c r="G46" i="27"/>
  <c r="C48" i="27"/>
  <c r="C47" i="27"/>
  <c r="C46" i="27"/>
  <c r="B15" i="25"/>
  <c r="C15" i="25"/>
  <c r="C5" i="25"/>
  <c r="E42" i="25"/>
  <c r="H48" i="27"/>
  <c r="M32" i="31"/>
  <c r="H46" i="27"/>
  <c r="M30" i="31"/>
  <c r="H47" i="27"/>
  <c r="M31" i="31"/>
  <c r="D47" i="27"/>
  <c r="G31" i="31"/>
  <c r="D46" i="27"/>
  <c r="G30" i="31"/>
  <c r="D48" i="27"/>
  <c r="G32" i="31"/>
  <c r="A1" i="28"/>
  <c r="K15" i="6"/>
  <c r="K13" i="6"/>
  <c r="K6" i="27"/>
  <c r="Y6" i="31"/>
  <c r="J12" i="27"/>
  <c r="G10" i="27"/>
  <c r="F6" i="27"/>
  <c r="G6" i="27"/>
  <c r="C7" i="27"/>
  <c r="J28" i="27"/>
  <c r="J27" i="27"/>
  <c r="K20" i="6"/>
  <c r="A26" i="22"/>
  <c r="A25" i="22"/>
  <c r="A24" i="22"/>
  <c r="A23" i="22"/>
  <c r="A22" i="22"/>
  <c r="A21" i="22"/>
  <c r="A20" i="22"/>
  <c r="A19" i="22"/>
  <c r="J26" i="27"/>
  <c r="J25" i="27"/>
  <c r="J24" i="27"/>
  <c r="J23" i="27"/>
  <c r="J22" i="27"/>
  <c r="J21" i="27"/>
  <c r="J20" i="27"/>
  <c r="J19" i="27"/>
  <c r="J18" i="27"/>
  <c r="J17" i="27"/>
  <c r="A31" i="27"/>
  <c r="A16" i="27"/>
  <c r="A15" i="27"/>
  <c r="A14" i="27"/>
  <c r="C10" i="27"/>
  <c r="C6" i="27"/>
  <c r="A1" i="27"/>
  <c r="F37" i="27"/>
  <c r="G37" i="27"/>
  <c r="H37" i="27"/>
  <c r="B37" i="27"/>
  <c r="C37" i="27"/>
  <c r="D37" i="27"/>
  <c r="L6" i="27"/>
  <c r="L8" i="27"/>
  <c r="C49" i="31"/>
  <c r="R10" i="27"/>
  <c r="C48" i="31"/>
  <c r="R9" i="27"/>
  <c r="D6" i="27"/>
  <c r="C6" i="31"/>
  <c r="H6" i="27"/>
  <c r="I6" i="31"/>
  <c r="C9" i="31"/>
  <c r="D10" i="27"/>
  <c r="C11" i="31"/>
  <c r="D7" i="27"/>
  <c r="C7" i="31"/>
  <c r="H10" i="27"/>
  <c r="I11" i="31"/>
  <c r="K27" i="27"/>
  <c r="L27" i="27"/>
  <c r="K23" i="27"/>
  <c r="L23" i="27"/>
  <c r="K21" i="27"/>
  <c r="L21" i="27"/>
  <c r="K24" i="27"/>
  <c r="L24" i="27"/>
  <c r="K28" i="27"/>
  <c r="L28" i="27"/>
  <c r="K17" i="27"/>
  <c r="L17" i="27"/>
  <c r="K25" i="27"/>
  <c r="L25" i="27"/>
  <c r="K26" i="27"/>
  <c r="L26" i="27"/>
  <c r="K19" i="27"/>
  <c r="L19" i="27"/>
  <c r="K12" i="27"/>
  <c r="L12" i="27"/>
  <c r="K22" i="27"/>
  <c r="L22" i="27"/>
  <c r="K20" i="27"/>
  <c r="L20" i="27"/>
  <c r="K29" i="31"/>
  <c r="G29" i="31"/>
  <c r="A1" i="26"/>
  <c r="I14" i="6"/>
  <c r="I34" i="6"/>
  <c r="I28" i="6"/>
  <c r="I27" i="6"/>
  <c r="I26" i="6"/>
  <c r="F17" i="27" s="1"/>
  <c r="G17" i="27" s="1"/>
  <c r="I25" i="6"/>
  <c r="I24" i="6"/>
  <c r="I23" i="6"/>
  <c r="I22" i="6"/>
  <c r="B36" i="27"/>
  <c r="C36" i="27"/>
  <c r="D36" i="27"/>
  <c r="F36" i="27"/>
  <c r="G36" i="27"/>
  <c r="H36" i="27"/>
  <c r="B32" i="27"/>
  <c r="C32" i="27"/>
  <c r="D32" i="27"/>
  <c r="F32" i="27"/>
  <c r="G32" i="27"/>
  <c r="H32" i="27"/>
  <c r="F33" i="27"/>
  <c r="G33" i="27"/>
  <c r="H33" i="27"/>
  <c r="B33" i="27"/>
  <c r="C33" i="27"/>
  <c r="D33" i="27"/>
  <c r="B34" i="27"/>
  <c r="C34" i="27"/>
  <c r="D34" i="27"/>
  <c r="F34" i="27"/>
  <c r="G34" i="27"/>
  <c r="H34" i="27"/>
  <c r="F35" i="27"/>
  <c r="G35" i="27"/>
  <c r="H35" i="27"/>
  <c r="B35" i="27"/>
  <c r="C35" i="27"/>
  <c r="D35" i="27"/>
  <c r="B31" i="27"/>
  <c r="C31" i="27"/>
  <c r="F31" i="27"/>
  <c r="G31" i="27"/>
  <c r="B25" i="27"/>
  <c r="C25" i="27"/>
  <c r="D25" i="27"/>
  <c r="F25" i="27"/>
  <c r="G25" i="27"/>
  <c r="H25" i="27"/>
  <c r="B18" i="27"/>
  <c r="C18" i="27"/>
  <c r="D18" i="27"/>
  <c r="F18" i="27"/>
  <c r="G18" i="27"/>
  <c r="H18" i="27"/>
  <c r="F19" i="27"/>
  <c r="G19" i="27"/>
  <c r="H19" i="27"/>
  <c r="B19" i="27"/>
  <c r="C19" i="27"/>
  <c r="D19" i="27"/>
  <c r="F16" i="27"/>
  <c r="G16" i="27"/>
  <c r="H16" i="27"/>
  <c r="B16" i="27"/>
  <c r="C16" i="27"/>
  <c r="B17" i="27"/>
  <c r="C17" i="27" s="1"/>
  <c r="J18" i="31"/>
  <c r="L18" i="31"/>
  <c r="K18" i="31"/>
  <c r="L20" i="31"/>
  <c r="J20" i="31"/>
  <c r="L19" i="31"/>
  <c r="J19" i="31"/>
  <c r="M21" i="31"/>
  <c r="L21" i="31"/>
  <c r="K21" i="31"/>
  <c r="J21" i="31"/>
  <c r="G16" i="31"/>
  <c r="F16" i="31"/>
  <c r="D16" i="31"/>
  <c r="M16" i="31"/>
  <c r="L16" i="31"/>
  <c r="J16" i="31"/>
  <c r="L10" i="31"/>
  <c r="J10" i="31"/>
  <c r="F15" i="31"/>
  <c r="D15" i="31"/>
  <c r="M15" i="31"/>
  <c r="L15" i="31"/>
  <c r="J15" i="31"/>
  <c r="J17" i="31"/>
  <c r="L17" i="31"/>
  <c r="F14" i="27"/>
  <c r="G14" i="27"/>
  <c r="H14" i="27"/>
  <c r="F9" i="27"/>
  <c r="G9" i="27"/>
  <c r="F13" i="27"/>
  <c r="G13" i="27"/>
  <c r="F15" i="27"/>
  <c r="G15" i="27"/>
  <c r="H15" i="27"/>
  <c r="B15" i="27"/>
  <c r="C15" i="27"/>
  <c r="D15" i="27"/>
  <c r="B13" i="27"/>
  <c r="C13" i="27"/>
  <c r="B14" i="27"/>
  <c r="C14" i="27"/>
  <c r="D14" i="27"/>
  <c r="A1" i="22"/>
  <c r="A18" i="22"/>
  <c r="A17" i="22"/>
  <c r="C42" i="25"/>
  <c r="A1" i="25"/>
  <c r="C1" i="18"/>
  <c r="K18" i="6"/>
  <c r="M20" i="31"/>
  <c r="K20" i="31"/>
  <c r="M19" i="31"/>
  <c r="M17" i="31"/>
  <c r="K19" i="31"/>
  <c r="K10" i="31"/>
  <c r="G15" i="31"/>
  <c r="E16" i="31"/>
  <c r="G27" i="31"/>
  <c r="G25" i="31"/>
  <c r="K25" i="31"/>
  <c r="K24" i="31"/>
  <c r="K15" i="31"/>
  <c r="M10" i="31"/>
  <c r="K26" i="31"/>
  <c r="G20" i="31"/>
  <c r="K28" i="31"/>
  <c r="G28" i="31"/>
  <c r="K16" i="31"/>
  <c r="G21" i="31"/>
  <c r="G19" i="31"/>
  <c r="G24" i="31"/>
  <c r="E15" i="31"/>
  <c r="G26" i="31"/>
  <c r="K27" i="31"/>
  <c r="H13" i="27"/>
  <c r="M14" i="31"/>
  <c r="D13" i="27"/>
  <c r="G14" i="31"/>
  <c r="G23" i="31"/>
  <c r="K23" i="31"/>
  <c r="D31" i="27"/>
  <c r="G22" i="31"/>
  <c r="H31" i="27"/>
  <c r="K22" i="31"/>
  <c r="D16" i="27"/>
  <c r="G17" i="31"/>
  <c r="K17" i="31"/>
  <c r="C54" i="31" a="1"/>
  <c r="C54" i="31" s="1"/>
  <c r="R15" i="27" s="1"/>
  <c r="A17" i="19"/>
  <c r="A16" i="19"/>
  <c r="A15" i="19"/>
  <c r="A14" i="19"/>
  <c r="A13" i="19"/>
  <c r="A11" i="19"/>
  <c r="A10" i="19"/>
  <c r="A12" i="19"/>
  <c r="A3" i="19"/>
  <c r="F18" i="12"/>
  <c r="F16" i="12"/>
  <c r="F15" i="12"/>
  <c r="F10" i="12"/>
  <c r="F9" i="12"/>
  <c r="F22" i="12"/>
  <c r="F7" i="12"/>
  <c r="F6" i="12"/>
  <c r="D22" i="12"/>
  <c r="A1" i="12"/>
  <c r="D6" i="29"/>
  <c r="D11" i="29"/>
  <c r="B16" i="30" l="1"/>
  <c r="C16" i="30" s="1"/>
  <c r="B35" i="25"/>
  <c r="B27" i="25"/>
  <c r="B39" i="25"/>
  <c r="B31" i="25"/>
  <c r="B11" i="27"/>
  <c r="C11" i="27" s="1"/>
  <c r="F11" i="27"/>
  <c r="G11" i="27" s="1"/>
  <c r="D17" i="27"/>
  <c r="G18" i="31"/>
  <c r="M18" i="31"/>
  <c r="H17" i="27"/>
  <c r="F12" i="27"/>
  <c r="B12" i="27"/>
  <c r="C18" i="30"/>
  <c r="H9" i="27"/>
  <c r="C58" i="30" l="1"/>
  <c r="C59" i="30" s="1"/>
  <c r="C60" i="30" s="1"/>
  <c r="E6" i="29" s="1"/>
  <c r="B58" i="30"/>
  <c r="B60" i="30" s="1"/>
  <c r="H11" i="27"/>
  <c r="K12" i="31"/>
  <c r="C39" i="25"/>
  <c r="B10" i="28" s="1"/>
  <c r="D31" i="25"/>
  <c r="C35" i="25"/>
  <c r="B9" i="28" s="1"/>
  <c r="D35" i="25"/>
  <c r="E27" i="25"/>
  <c r="D39" i="25"/>
  <c r="C31" i="25"/>
  <c r="B8" i="28" s="1"/>
  <c r="C27" i="25"/>
  <c r="D27" i="25"/>
  <c r="D47" i="25" s="1"/>
  <c r="E35" i="25"/>
  <c r="F9" i="28" s="1"/>
  <c r="G9" i="28" s="1"/>
  <c r="E39" i="25"/>
  <c r="F10" i="28" s="1"/>
  <c r="G10" i="28" s="1"/>
  <c r="E31" i="25"/>
  <c r="F8" i="28" s="1"/>
  <c r="G8" i="28" s="1"/>
  <c r="D11" i="27"/>
  <c r="C12" i="31"/>
  <c r="B49" i="27"/>
  <c r="C12" i="27"/>
  <c r="G12" i="27"/>
  <c r="F49" i="27"/>
  <c r="J8" i="28" l="1"/>
  <c r="I8" i="28"/>
  <c r="J10" i="28"/>
  <c r="I10" i="28"/>
  <c r="J9" i="28"/>
  <c r="I9" i="28"/>
  <c r="B7" i="28"/>
  <c r="C47" i="25"/>
  <c r="C8" i="28"/>
  <c r="F7" i="28"/>
  <c r="E47" i="25"/>
  <c r="C9" i="28"/>
  <c r="C10" i="28"/>
  <c r="E7" i="29"/>
  <c r="H12" i="27"/>
  <c r="H49" i="27" s="1"/>
  <c r="G49" i="27"/>
  <c r="J10" i="27" s="1"/>
  <c r="C49" i="27"/>
  <c r="D12" i="27"/>
  <c r="D49" i="27" s="1"/>
  <c r="D10" i="28" l="1"/>
  <c r="E10" i="28" s="1"/>
  <c r="J16" i="27"/>
  <c r="K16" i="27" s="1"/>
  <c r="E9" i="28"/>
  <c r="J11" i="27"/>
  <c r="K11" i="27" s="1"/>
  <c r="D9" i="28"/>
  <c r="J15" i="27"/>
  <c r="K15" i="27" s="1"/>
  <c r="F13" i="28"/>
  <c r="G7" i="28"/>
  <c r="E8" i="28"/>
  <c r="D8" i="28"/>
  <c r="C7" i="28"/>
  <c r="B13" i="28"/>
  <c r="J32" i="27"/>
  <c r="K10" i="27"/>
  <c r="E8" i="29"/>
  <c r="G7" i="29"/>
  <c r="C13" i="28" l="1"/>
  <c r="E7" i="28"/>
  <c r="D7" i="28"/>
  <c r="D13" i="28" s="1"/>
  <c r="L8" i="28"/>
  <c r="K8" i="28"/>
  <c r="M8" i="28" s="1"/>
  <c r="N8" i="28" s="1"/>
  <c r="I7" i="28"/>
  <c r="I13" i="28" s="1"/>
  <c r="L18" i="27" s="1"/>
  <c r="K18" i="27" s="1"/>
  <c r="AA6" i="31" s="1"/>
  <c r="J7" i="28"/>
  <c r="G13" i="28"/>
  <c r="S6" i="31"/>
  <c r="L15" i="27"/>
  <c r="L11" i="27"/>
  <c r="Q6" i="31"/>
  <c r="C52" i="31" s="1" a="1"/>
  <c r="C52" i="31" s="1"/>
  <c r="R13" i="27" s="1"/>
  <c r="L9" i="28"/>
  <c r="K9" i="28"/>
  <c r="L16" i="27"/>
  <c r="U7" i="31"/>
  <c r="L10" i="28"/>
  <c r="K10" i="28"/>
  <c r="M10" i="28" s="1"/>
  <c r="N10" i="28" s="1"/>
  <c r="G8" i="29"/>
  <c r="E9" i="29"/>
  <c r="L10" i="27"/>
  <c r="L32" i="27" s="1"/>
  <c r="K32" i="27"/>
  <c r="U6" i="31"/>
  <c r="M9" i="28" l="1"/>
  <c r="N9" i="28" s="1"/>
  <c r="J13" i="28"/>
  <c r="C46" i="31" a="1"/>
  <c r="C46" i="31" s="1"/>
  <c r="R7" i="27" s="1"/>
  <c r="C53" i="31" a="1"/>
  <c r="C53" i="31" s="1"/>
  <c r="R14" i="27" s="1"/>
  <c r="C45" i="31" a="1"/>
  <c r="C45" i="31" s="1"/>
  <c r="R6" i="27" s="1"/>
  <c r="R16" i="27" s="1"/>
  <c r="C47" i="31" a="1"/>
  <c r="C47" i="31" s="1"/>
  <c r="R8" i="27" s="1"/>
  <c r="L7" i="28"/>
  <c r="L13" i="28" s="1"/>
  <c r="E13" i="28"/>
  <c r="K7" i="28"/>
  <c r="K13" i="28" s="1"/>
  <c r="C50" i="31" a="1"/>
  <c r="C50" i="31" s="1"/>
  <c r="R11" i="27" s="1"/>
  <c r="L34" i="27"/>
  <c r="B6" i="29"/>
  <c r="G9" i="29"/>
  <c r="E10" i="29"/>
  <c r="E11" i="29"/>
  <c r="M7" i="28" l="1"/>
  <c r="B11" i="29"/>
  <c r="G10" i="29"/>
  <c r="E13" i="29"/>
  <c r="N7" i="28" l="1"/>
  <c r="N13" i="28" s="1"/>
  <c r="C6" i="29" s="1"/>
  <c r="M13" i="28"/>
  <c r="G13" i="29"/>
  <c r="E14" i="29"/>
  <c r="C11" i="29" l="1"/>
  <c r="G6" i="29"/>
  <c r="G11" i="29" s="1"/>
  <c r="G14" i="29"/>
  <c r="E15" i="29"/>
  <c r="E16" i="29" l="1"/>
  <c r="G15" i="29"/>
  <c r="E17" i="29" l="1"/>
  <c r="G17" i="29" s="1"/>
  <c r="G16" i="29"/>
  <c r="E18" i="29" l="1"/>
  <c r="E21" i="29"/>
  <c r="G1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Joshua Langemann</author>
  </authors>
  <commentList>
    <comment ref="E13" authorId="0" shapeId="0" xr:uid="{21B40F48-C518-42D5-B867-D536A2B029F3}">
      <text>
        <r>
          <rPr>
            <sz val="9"/>
            <color rgb="FF000000"/>
            <rFont val="Tahoma"/>
            <family val="2"/>
          </rPr>
          <t>Enter number of annual scans</t>
        </r>
      </text>
    </comment>
    <comment ref="G15" authorId="1" shapeId="0" xr:uid="{D04FECA9-6681-B149-887B-945F77B95C27}">
      <text>
        <r>
          <rPr>
            <sz val="10"/>
            <color rgb="FF000000"/>
            <rFont val="Tahoma"/>
            <family val="2"/>
          </rPr>
          <t>Enter Name of Bank</t>
        </r>
      </text>
    </comment>
    <comment ref="E16" authorId="0" shapeId="0" xr:uid="{996B5885-693E-4F05-A588-13A82D772A7C}">
      <text>
        <r>
          <rPr>
            <sz val="9"/>
            <color rgb="FF000000"/>
            <rFont val="Tahoma"/>
            <family val="2"/>
          </rPr>
          <t xml:space="preserve">Enter number of depts/agencies to submit 
</t>
        </r>
      </text>
    </comment>
    <comment ref="E17" authorId="0" shapeId="0" xr:uid="{241A9FD0-4930-8F49-8D80-DB2C662FA9ED}">
      <text>
        <r>
          <rPr>
            <sz val="9"/>
            <color rgb="FF000000"/>
            <rFont val="Tahoma"/>
            <family val="2"/>
          </rPr>
          <t xml:space="preserve">Enter number of workflow configurations
</t>
        </r>
      </text>
    </comment>
    <comment ref="E18" authorId="0" shapeId="0" xr:uid="{6A77EE80-EEF7-F942-855E-E678647F9526}">
      <text>
        <r>
          <rPr>
            <sz val="9"/>
            <color rgb="FF000000"/>
            <rFont val="Tahoma"/>
            <family val="2"/>
          </rPr>
          <t>Please enter number of annual Transactions</t>
        </r>
      </text>
    </comment>
    <comment ref="G22" authorId="0" shapeId="0" xr:uid="{0EE86F33-6B16-44F8-A7FE-1D64F4B7270A}">
      <text>
        <r>
          <rPr>
            <sz val="9"/>
            <color rgb="FF000000"/>
            <rFont val="Tahoma"/>
            <family val="2"/>
          </rPr>
          <t>List Credit Processor</t>
        </r>
      </text>
    </comment>
    <comment ref="G23" authorId="0" shapeId="0" xr:uid="{339C2AB9-5445-454E-B70A-1923E08F1C37}">
      <text>
        <r>
          <rPr>
            <sz val="9"/>
            <color rgb="FF000000"/>
            <rFont val="Tahoma"/>
            <family val="2"/>
          </rPr>
          <t>Show Name of Financial Companies</t>
        </r>
      </text>
    </comment>
    <comment ref="G24" authorId="0" shapeId="0" xr:uid="{02BB6B0C-2DD9-4D7C-9B06-834E96A4298D}">
      <text>
        <r>
          <rPr>
            <b/>
            <sz val="9"/>
            <color rgb="FF000000"/>
            <rFont val="Tahoma"/>
            <family val="2"/>
          </rPr>
          <t xml:space="preserve"> :</t>
        </r>
        <r>
          <rPr>
            <sz val="9"/>
            <color rgb="FF000000"/>
            <rFont val="Tahoma"/>
            <family val="2"/>
          </rPr>
          <t xml:space="preserve">
</t>
        </r>
        <r>
          <rPr>
            <sz val="9"/>
            <color rgb="FF000000"/>
            <rFont val="Tahoma"/>
            <family val="2"/>
          </rPr>
          <t>Show Name of A/R Company</t>
        </r>
      </text>
    </comment>
    <comment ref="G25" authorId="0" shapeId="0" xr:uid="{AA0A6742-49B1-4D71-8F19-7819CADD841A}">
      <text>
        <r>
          <rPr>
            <b/>
            <sz val="9"/>
            <color rgb="FF000000"/>
            <rFont val="Tahoma"/>
            <family val="2"/>
          </rPr>
          <t xml:space="preserve"> :</t>
        </r>
        <r>
          <rPr>
            <sz val="9"/>
            <color rgb="FF000000"/>
            <rFont val="Tahoma"/>
            <family val="2"/>
          </rPr>
          <t xml:space="preserve">
</t>
        </r>
        <r>
          <rPr>
            <sz val="9"/>
            <color rgb="FF000000"/>
            <rFont val="Tahoma"/>
            <family val="2"/>
          </rPr>
          <t>Show Name of Software/Application</t>
        </r>
      </text>
    </comment>
    <comment ref="G26" authorId="0" shapeId="0" xr:uid="{CF6D1BB1-C356-4855-B4C7-34196226A296}">
      <text>
        <r>
          <rPr>
            <sz val="9"/>
            <color rgb="FF000000"/>
            <rFont val="Tahoma"/>
            <family val="2"/>
          </rPr>
          <t>Show Name of Software/Application</t>
        </r>
      </text>
    </comment>
    <comment ref="G27" authorId="0" shapeId="0" xr:uid="{5BD53ED3-1B08-4979-84C6-C51F30079BEA}">
      <text>
        <r>
          <rPr>
            <sz val="9"/>
            <color rgb="FF000000"/>
            <rFont val="Tahoma"/>
            <family val="2"/>
          </rPr>
          <t>Show Name of Software/Application</t>
        </r>
      </text>
    </comment>
    <comment ref="G28" authorId="0" shapeId="0" xr:uid="{A3CA503C-02DC-496A-8A5E-813B03AC0C41}">
      <text>
        <r>
          <rPr>
            <sz val="9"/>
            <color rgb="FF000000"/>
            <rFont val="Tahoma"/>
            <family val="2"/>
          </rPr>
          <t>Show Name of Software/Application</t>
        </r>
      </text>
    </comment>
    <comment ref="G29" authorId="0" shapeId="0" xr:uid="{76E22710-DCE9-384C-80CB-75B010837313}">
      <text>
        <r>
          <rPr>
            <sz val="9"/>
            <color rgb="FF000000"/>
            <rFont val="Tahoma"/>
            <family val="2"/>
          </rPr>
          <t>Show Name of Software/Application</t>
        </r>
      </text>
    </comment>
    <comment ref="G30" authorId="0" shapeId="0" xr:uid="{F6FC0F58-6483-C149-937C-35FC75A10152}">
      <text>
        <r>
          <rPr>
            <sz val="9"/>
            <color rgb="FF000000"/>
            <rFont val="Tahoma"/>
            <family val="2"/>
          </rPr>
          <t>Show Name of Software/Application</t>
        </r>
      </text>
    </comment>
    <comment ref="G31" authorId="0" shapeId="0" xr:uid="{200851B8-3468-A84D-9470-092D02F854F6}">
      <text>
        <r>
          <rPr>
            <sz val="9"/>
            <color rgb="FF000000"/>
            <rFont val="Tahoma"/>
            <family val="2"/>
          </rPr>
          <t>Show Name of Software/Application</t>
        </r>
      </text>
    </comment>
    <comment ref="G32" authorId="0" shapeId="0" xr:uid="{30377532-AA25-9545-B745-51880EFF7D82}">
      <text>
        <r>
          <rPr>
            <sz val="9"/>
            <color rgb="FF000000"/>
            <rFont val="Tahoma"/>
            <family val="2"/>
          </rPr>
          <t>Show Name of Software/Application</t>
        </r>
      </text>
    </comment>
    <comment ref="G33" authorId="0" shapeId="0" xr:uid="{BCD75DCB-E8BD-6D4D-B3CD-1CB73EBE5306}">
      <text>
        <r>
          <rPr>
            <sz val="9"/>
            <color rgb="FF000000"/>
            <rFont val="Tahoma"/>
            <family val="2"/>
          </rPr>
          <t>Show Name of Software/Application</t>
        </r>
      </text>
    </comment>
    <comment ref="G34" authorId="0" shapeId="0" xr:uid="{BCAE79B1-D50D-404C-9B91-551A81B50277}">
      <text>
        <r>
          <rPr>
            <sz val="9"/>
            <color rgb="FF000000"/>
            <rFont val="Tahoma"/>
            <family val="2"/>
          </rPr>
          <t>Show Name of Software/Application</t>
        </r>
      </text>
    </comment>
    <comment ref="G35" authorId="0" shapeId="0" xr:uid="{341B7B13-CEE4-D54A-AF1F-5EC996F8821F}">
      <text>
        <r>
          <rPr>
            <sz val="9"/>
            <color rgb="FF000000"/>
            <rFont val="Tahoma"/>
            <family val="2"/>
          </rPr>
          <t>Show Name of Software/Application</t>
        </r>
      </text>
    </comment>
    <comment ref="G36" authorId="0" shapeId="0" xr:uid="{7918B422-8756-2D46-858A-160289A0EF42}">
      <text>
        <r>
          <rPr>
            <sz val="9"/>
            <color rgb="FF000000"/>
            <rFont val="Tahoma"/>
            <family val="2"/>
          </rPr>
          <t>Show Name of Software/Application</t>
        </r>
      </text>
    </comment>
    <comment ref="G37" authorId="0" shapeId="0" xr:uid="{E5525A4E-09E1-5E4B-87AE-FBFA76927C4C}">
      <text>
        <r>
          <rPr>
            <sz val="9"/>
            <color rgb="FF000000"/>
            <rFont val="Tahoma"/>
            <family val="2"/>
          </rPr>
          <t>Show Name of Software/Application</t>
        </r>
      </text>
    </comment>
    <comment ref="G38" authorId="0" shapeId="0" xr:uid="{36F03025-ABEE-8B4E-A807-16A86EDD1611}">
      <text>
        <r>
          <rPr>
            <sz val="9"/>
            <color rgb="FF000000"/>
            <rFont val="Tahoma"/>
            <family val="2"/>
          </rPr>
          <t>Show Name of Software/Application</t>
        </r>
      </text>
    </comment>
    <comment ref="G39" authorId="0" shapeId="0" xr:uid="{01C1358F-0E15-304C-BA78-2DE2CDBE05EA}">
      <text>
        <r>
          <rPr>
            <sz val="9"/>
            <color rgb="FF000000"/>
            <rFont val="Tahoma"/>
            <family val="2"/>
          </rPr>
          <t>Show Name of Software/Application</t>
        </r>
      </text>
    </comment>
    <comment ref="G45" authorId="0" shapeId="0" xr:uid="{3E671825-4CF9-4B39-BE2D-69E6F0CF2118}">
      <text>
        <r>
          <rPr>
            <sz val="9"/>
            <color rgb="FF000000"/>
            <rFont val="Tahoma"/>
            <family val="2"/>
          </rPr>
          <t>Show Name of Software/Application</t>
        </r>
      </text>
    </comment>
    <comment ref="G46" authorId="0" shapeId="0" xr:uid="{7052DD2B-85DD-4A9B-8B81-DC9874B6E9A5}">
      <text>
        <r>
          <rPr>
            <sz val="9"/>
            <color rgb="FF000000"/>
            <rFont val="Tahoma"/>
            <family val="2"/>
          </rPr>
          <t>Show Name of Software/Application</t>
        </r>
      </text>
    </comment>
    <comment ref="G47" authorId="0" shapeId="0" xr:uid="{63A083FC-82FC-4BF7-B9CA-E0A85C51283C}">
      <text>
        <r>
          <rPr>
            <sz val="9"/>
            <color rgb="FF000000"/>
            <rFont val="Tahoma"/>
            <family val="2"/>
          </rPr>
          <t>Show Name of Software/Application</t>
        </r>
      </text>
    </comment>
    <comment ref="G48" authorId="0" shapeId="0" xr:uid="{48DD196A-CC4F-41B3-87FB-6E0188796FBF}">
      <text>
        <r>
          <rPr>
            <sz val="9"/>
            <color rgb="FF000000"/>
            <rFont val="Tahoma"/>
            <family val="2"/>
          </rPr>
          <t>Show Name of Software/Application</t>
        </r>
      </text>
    </comment>
    <comment ref="G49" authorId="0" shapeId="0" xr:uid="{B685AC92-6731-401B-B241-1DBACC79B307}">
      <text>
        <r>
          <rPr>
            <sz val="9"/>
            <color rgb="FF000000"/>
            <rFont val="Tahoma"/>
            <family val="2"/>
          </rPr>
          <t>Show Name of Software/Application</t>
        </r>
      </text>
    </comment>
    <comment ref="G50" authorId="0" shapeId="0" xr:uid="{783FB9AE-A4D8-4FEA-929D-66A4B22F834C}">
      <text>
        <r>
          <rPr>
            <b/>
            <sz val="9"/>
            <color rgb="FF000000"/>
            <rFont val="Tahoma"/>
            <family val="2"/>
          </rPr>
          <t xml:space="preserve"> :</t>
        </r>
        <r>
          <rPr>
            <sz val="9"/>
            <color rgb="FF000000"/>
            <rFont val="Tahoma"/>
            <family val="2"/>
          </rPr>
          <t xml:space="preserve">
</t>
        </r>
        <r>
          <rPr>
            <sz val="9"/>
            <color rgb="FF000000"/>
            <rFont val="Tahoma"/>
            <family val="2"/>
          </rPr>
          <t>Show Name of Software/Application</t>
        </r>
      </text>
    </comment>
    <comment ref="G51" authorId="0" shapeId="0" xr:uid="{4124F5A4-078A-48EF-A00A-7AF090901A2C}">
      <text>
        <r>
          <rPr>
            <sz val="9"/>
            <color rgb="FF000000"/>
            <rFont val="Tahoma"/>
            <family val="2"/>
          </rPr>
          <t>Show Name of Software/Application</t>
        </r>
      </text>
    </comment>
    <comment ref="G52" authorId="0" shapeId="0" xr:uid="{58A9A3DF-97D9-4EA7-9BA0-D5860B029947}">
      <text>
        <r>
          <rPr>
            <sz val="9"/>
            <color rgb="FF000000"/>
            <rFont val="Tahoma"/>
            <family val="2"/>
          </rPr>
          <t>Show Name of Software/Application</t>
        </r>
      </text>
    </comment>
    <comment ref="G53" authorId="0" shapeId="0" xr:uid="{5BE38DF4-FDBB-364C-8FD3-8FBF5FC22242}">
      <text>
        <r>
          <rPr>
            <sz val="9"/>
            <color rgb="FF000000"/>
            <rFont val="Tahoma"/>
            <family val="2"/>
          </rPr>
          <t>Show Name of Software/Application</t>
        </r>
      </text>
    </comment>
    <comment ref="G54" authorId="0" shapeId="0" xr:uid="{2E21C7CE-1697-1044-9C88-D442C66F3074}">
      <text>
        <r>
          <rPr>
            <b/>
            <sz val="9"/>
            <color rgb="FF000000"/>
            <rFont val="Tahoma"/>
            <family val="2"/>
          </rPr>
          <t xml:space="preserve"> :</t>
        </r>
        <r>
          <rPr>
            <sz val="9"/>
            <color rgb="FF000000"/>
            <rFont val="Tahoma"/>
            <family val="2"/>
          </rPr>
          <t xml:space="preserve">
</t>
        </r>
        <r>
          <rPr>
            <sz val="9"/>
            <color rgb="FF000000"/>
            <rFont val="Tahoma"/>
            <family val="2"/>
          </rPr>
          <t>Show Name of Software/Application</t>
        </r>
      </text>
    </comment>
    <comment ref="G55" authorId="0" shapeId="0" xr:uid="{CE5AD805-20A8-7241-A386-A406678E4D70}">
      <text>
        <r>
          <rPr>
            <sz val="9"/>
            <color rgb="FF000000"/>
            <rFont val="Tahoma"/>
            <family val="2"/>
          </rPr>
          <t>Show Name of Software/Application</t>
        </r>
      </text>
    </comment>
    <comment ref="G56" authorId="0" shapeId="0" xr:uid="{D2C727A8-83FB-E545-A12B-5D26D45F0AAE}">
      <text>
        <r>
          <rPr>
            <sz val="9"/>
            <color rgb="FF000000"/>
            <rFont val="Tahoma"/>
            <family val="2"/>
          </rPr>
          <t>Show Name of Software/Application</t>
        </r>
      </text>
    </comment>
    <comment ref="G57" authorId="0" shapeId="0" xr:uid="{27835C43-E5E6-0645-A809-E0E0AF48625E}">
      <text>
        <r>
          <rPr>
            <sz val="9"/>
            <color rgb="FF000000"/>
            <rFont val="Tahoma"/>
            <family val="2"/>
          </rPr>
          <t>Show Name of Software/Application</t>
        </r>
      </text>
    </comment>
    <comment ref="G58" authorId="0" shapeId="0" xr:uid="{C5E9CD6F-CEF6-C34E-9AEF-26F47280A10B}">
      <text>
        <r>
          <rPr>
            <sz val="9"/>
            <color rgb="FF000000"/>
            <rFont val="Tahoma"/>
            <family val="2"/>
          </rPr>
          <t>Show Name of Software/Application</t>
        </r>
      </text>
    </comment>
    <comment ref="G59" authorId="0" shapeId="0" xr:uid="{16AF04A4-F4DF-354B-93F7-A694290AFE58}">
      <text>
        <r>
          <rPr>
            <sz val="9"/>
            <color rgb="FF000000"/>
            <rFont val="Tahoma"/>
            <family val="2"/>
          </rPr>
          <t>Show Name of Software/Application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C4" authorId="0" shapeId="0" xr:uid="{BB37C0C0-43B2-45C5-9FF0-82F821726D76}">
      <text>
        <r>
          <rPr>
            <b/>
            <sz val="9"/>
            <color rgb="FF000000"/>
            <rFont val="Tahoma"/>
            <family val="2"/>
          </rPr>
          <t xml:space="preserve"> :</t>
        </r>
        <r>
          <rPr>
            <sz val="9"/>
            <color rgb="FF000000"/>
            <rFont val="Tahoma"/>
            <family val="2"/>
          </rPr>
          <t xml:space="preserve">
</t>
        </r>
        <r>
          <rPr>
            <sz val="9"/>
            <color rgb="FF000000"/>
            <rFont val="Tahoma"/>
            <family val="2"/>
          </rPr>
          <t>Enter notes here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10" authorId="0" shapeId="0" xr:uid="{6A7EFE07-3D0B-4A77-84DF-F9D79A7F8C08}">
      <text>
        <r>
          <rPr>
            <b/>
            <sz val="9"/>
            <color indexed="81"/>
            <rFont val="Tahoma"/>
            <family val="2"/>
          </rPr>
          <t xml:space="preserve"> :</t>
        </r>
        <r>
          <rPr>
            <sz val="9"/>
            <color indexed="81"/>
            <rFont val="Tahoma"/>
            <family val="2"/>
          </rPr>
          <t xml:space="preserve">
 1 multiple per 100,000 checks
</t>
        </r>
      </text>
    </comment>
    <comment ref="B13" authorId="0" shapeId="0" xr:uid="{C3422713-23A8-41AE-9205-56DAD2B1CA37}">
      <text>
        <r>
          <rPr>
            <b/>
            <sz val="9"/>
            <color indexed="81"/>
            <rFont val="Tahoma"/>
            <family val="2"/>
          </rPr>
          <t xml:space="preserve"> :</t>
        </r>
        <r>
          <rPr>
            <sz val="9"/>
            <color indexed="81"/>
            <rFont val="Tahoma"/>
            <family val="2"/>
          </rPr>
          <t xml:space="preserve">
 1 multiple per 100,000 checks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<sst xmlns="http://schemas.openxmlformats.org/spreadsheetml/2006/main" count="900" uniqueCount="373">
  <si>
    <t>Category</t>
  </si>
  <si>
    <t>Data</t>
  </si>
  <si>
    <t>Notes</t>
  </si>
  <si>
    <t>Version</t>
  </si>
  <si>
    <t>Information</t>
  </si>
  <si>
    <t xml:space="preserve">         Name of Agency</t>
  </si>
  <si>
    <t xml:space="preserve"> </t>
  </si>
  <si>
    <t>TELLER CLIENT, STATE</t>
  </si>
  <si>
    <t xml:space="preserve">         Teller Standard or Basic</t>
  </si>
  <si>
    <t>S</t>
  </si>
  <si>
    <t>Complexity Quotient</t>
  </si>
  <si>
    <t xml:space="preserve">         Named or Concurrent Users</t>
  </si>
  <si>
    <t>N</t>
  </si>
  <si>
    <t xml:space="preserve">         Number of Additional Users</t>
  </si>
  <si>
    <t>Factor</t>
  </si>
  <si>
    <t>Computer</t>
  </si>
  <si>
    <t>Override</t>
  </si>
  <si>
    <t xml:space="preserve">         Departments to Implement</t>
  </si>
  <si>
    <t xml:space="preserve">         Length of Project</t>
  </si>
  <si>
    <t xml:space="preserve">Complex Value </t>
  </si>
  <si>
    <t xml:space="preserve">         Travel Zone (1-4)</t>
  </si>
  <si>
    <t>(1=Low)    (1-3)</t>
  </si>
  <si>
    <t xml:space="preserve">         24/7 on call support</t>
  </si>
  <si>
    <t>Total</t>
  </si>
  <si>
    <t>Applications</t>
  </si>
  <si>
    <t>Active</t>
  </si>
  <si>
    <t>New</t>
  </si>
  <si>
    <t>Volume</t>
  </si>
  <si>
    <t>Users</t>
  </si>
  <si>
    <t xml:space="preserve">         Check Recognition/Bulk Scanning</t>
  </si>
  <si>
    <t>Y</t>
  </si>
  <si>
    <t>Scans:</t>
  </si>
  <si>
    <t>ICL</t>
  </si>
  <si>
    <t xml:space="preserve">         Check Validation</t>
  </si>
  <si>
    <t>NOTE: Requires Check Recognition</t>
  </si>
  <si>
    <t xml:space="preserve">         Image Cash Letter</t>
  </si>
  <si>
    <t>????</t>
  </si>
  <si>
    <t>Rev Sub</t>
  </si>
  <si>
    <t xml:space="preserve">         Revenue Submission</t>
  </si>
  <si>
    <t>Submitters:</t>
  </si>
  <si>
    <t xml:space="preserve">         Workflow Submission</t>
  </si>
  <si>
    <t>Workflows:</t>
  </si>
  <si>
    <r>
      <t xml:space="preserve">NOTE: Choose Revenue </t>
    </r>
    <r>
      <rPr>
        <i/>
        <sz val="11"/>
        <color theme="1"/>
        <rFont val="Calibri"/>
        <family val="2"/>
        <scheme val="minor"/>
      </rPr>
      <t>or</t>
    </r>
    <r>
      <rPr>
        <sz val="11"/>
        <color theme="1"/>
        <rFont val="Calibri"/>
        <family val="2"/>
        <scheme val="minor"/>
      </rPr>
      <t xml:space="preserve"> Workflow Submission</t>
    </r>
  </si>
  <si>
    <t>Online WF</t>
  </si>
  <si>
    <t xml:space="preserve">         Online Customer Portal</t>
  </si>
  <si>
    <t>Transactions:</t>
  </si>
  <si>
    <t>NOTE SCOPE</t>
  </si>
  <si>
    <t>Bi-Dir</t>
  </si>
  <si>
    <t>Bi-Dir (Online)</t>
  </si>
  <si>
    <t>Pay Imp</t>
  </si>
  <si>
    <t>Integrations - Bi-Directional</t>
  </si>
  <si>
    <t>Online</t>
  </si>
  <si>
    <t>Online - New</t>
  </si>
  <si>
    <t>Misc</t>
  </si>
  <si>
    <t xml:space="preserve">         Credit Processor </t>
  </si>
  <si>
    <t xml:space="preserve">         Financials</t>
  </si>
  <si>
    <t xml:space="preserve">         Financials A/R</t>
  </si>
  <si>
    <t xml:space="preserve">         Bi-Directional - </t>
  </si>
  <si>
    <t>Test 3</t>
  </si>
  <si>
    <t>Test 4</t>
  </si>
  <si>
    <t>Test 5</t>
  </si>
  <si>
    <t>Test 6</t>
  </si>
  <si>
    <t>Test 7</t>
  </si>
  <si>
    <t>Test 8</t>
  </si>
  <si>
    <t>Test 9</t>
  </si>
  <si>
    <t>Test 10</t>
  </si>
  <si>
    <t>Test 11</t>
  </si>
  <si>
    <t>Test 12</t>
  </si>
  <si>
    <t>Test 13</t>
  </si>
  <si>
    <t>Test 14</t>
  </si>
  <si>
    <t>Test 15</t>
  </si>
  <si>
    <t xml:space="preserve">         Bi-Directional Interface Count</t>
  </si>
  <si>
    <t>Integrations - Payment Import</t>
  </si>
  <si>
    <t xml:space="preserve">         Payment Import - </t>
  </si>
  <si>
    <t>Import Test 3</t>
  </si>
  <si>
    <t>Import Test 4</t>
  </si>
  <si>
    <t>Import Test 5</t>
  </si>
  <si>
    <t>Import Test 6</t>
  </si>
  <si>
    <t>Import Test 7</t>
  </si>
  <si>
    <t>Import Test 8</t>
  </si>
  <si>
    <t>Import Test 9</t>
  </si>
  <si>
    <t>Import Test 10</t>
  </si>
  <si>
    <t>Import Test 11</t>
  </si>
  <si>
    <t>Import Test 12</t>
  </si>
  <si>
    <t>Import Test 13</t>
  </si>
  <si>
    <t>Import Test 14</t>
  </si>
  <si>
    <t>Import Test 15</t>
  </si>
  <si>
    <t xml:space="preserve">         Payment Interface Count</t>
  </si>
  <si>
    <t>Online - Forms</t>
  </si>
  <si>
    <t>Count</t>
  </si>
  <si>
    <t>Estimate</t>
  </si>
  <si>
    <t>Simple</t>
  </si>
  <si>
    <t>Medium</t>
  </si>
  <si>
    <t>Complex</t>
  </si>
  <si>
    <t>Form Count:</t>
  </si>
  <si>
    <t>Simple w/ Workflow</t>
  </si>
  <si>
    <t>Medium w/ Workflow</t>
  </si>
  <si>
    <t>Complex w/ Workflow</t>
  </si>
  <si>
    <t>Form with Workflow Count:</t>
  </si>
  <si>
    <t>Discount on SaaS</t>
  </si>
  <si>
    <t>Discount on Services</t>
  </si>
  <si>
    <t>Password - Price</t>
  </si>
  <si>
    <t>Version Personnel</t>
  </si>
  <si>
    <t>Version Date</t>
  </si>
  <si>
    <t>V1</t>
  </si>
  <si>
    <t>Scott</t>
  </si>
  <si>
    <t>V2</t>
  </si>
  <si>
    <t>Josh</t>
  </si>
  <si>
    <t>V3</t>
  </si>
  <si>
    <t xml:space="preserve">V4 </t>
  </si>
  <si>
    <t>V5</t>
  </si>
  <si>
    <t>Investment Analysis</t>
  </si>
  <si>
    <t>Year</t>
  </si>
  <si>
    <t>Services</t>
  </si>
  <si>
    <t xml:space="preserve">Estimated  Travel </t>
  </si>
  <si>
    <t>Equipment</t>
  </si>
  <si>
    <t>SaaS Fees</t>
  </si>
  <si>
    <t>Total Cost</t>
  </si>
  <si>
    <t>5 Year Cost</t>
  </si>
  <si>
    <t xml:space="preserve">  Sales Tax not included</t>
  </si>
  <si>
    <t>10 year Investment</t>
  </si>
  <si>
    <t>Service = Services+Travel Time costs</t>
  </si>
  <si>
    <t>Estimated Amount</t>
  </si>
  <si>
    <t>Pricing   Amount</t>
  </si>
  <si>
    <t>SaaS</t>
  </si>
  <si>
    <t xml:space="preserve">Amounts </t>
  </si>
  <si>
    <t>Teller Plan</t>
  </si>
  <si>
    <t>Additional Named Users</t>
  </si>
  <si>
    <t>Base: 5</t>
  </si>
  <si>
    <t>Additional Concurrent Users</t>
  </si>
  <si>
    <t>Base: 3</t>
  </si>
  <si>
    <t xml:space="preserve">         Misc - 1</t>
  </si>
  <si>
    <t xml:space="preserve">         Misc - 2</t>
  </si>
  <si>
    <t xml:space="preserve">         Misc - 3</t>
  </si>
  <si>
    <t xml:space="preserve">Total: </t>
  </si>
  <si>
    <t>SHI lift</t>
  </si>
  <si>
    <t>SaaS Annualized</t>
  </si>
  <si>
    <t>Estimated Hours</t>
  </si>
  <si>
    <t>Pricing Hours</t>
  </si>
  <si>
    <t>Services Costs</t>
  </si>
  <si>
    <t>Standard    Services Costs</t>
  </si>
  <si>
    <t>Service Tasks</t>
  </si>
  <si>
    <t>Planning</t>
  </si>
  <si>
    <t>Implementation</t>
  </si>
  <si>
    <t>Project Management</t>
  </si>
  <si>
    <t>Role</t>
  </si>
  <si>
    <t>Hours</t>
  </si>
  <si>
    <t>Implementation Plan-Basic-Setup</t>
  </si>
  <si>
    <t>Configurator Hours</t>
  </si>
  <si>
    <t>Teller Setup</t>
  </si>
  <si>
    <t>Technical Configuration Hours</t>
  </si>
  <si>
    <t>Implementation Plan-Interfaces</t>
  </si>
  <si>
    <t>Total PM</t>
  </si>
  <si>
    <t>BA Hours</t>
  </si>
  <si>
    <t>Training</t>
  </si>
  <si>
    <t>Training Tasks</t>
  </si>
  <si>
    <t>PM Hours</t>
  </si>
  <si>
    <t>UAT Support</t>
  </si>
  <si>
    <t>PMA Hours</t>
  </si>
  <si>
    <t>Prep - Training (Office)</t>
  </si>
  <si>
    <t>Project Development Hours</t>
  </si>
  <si>
    <t>Product Development Hours</t>
  </si>
  <si>
    <t>Project Kickoff and Analysis</t>
  </si>
  <si>
    <t>QA Hours</t>
  </si>
  <si>
    <t>Interface Integration and Analysis</t>
  </si>
  <si>
    <t>Trainer Hours</t>
  </si>
  <si>
    <t>Ops Hours</t>
  </si>
  <si>
    <t>Go Live Support</t>
  </si>
  <si>
    <t>Total:</t>
  </si>
  <si>
    <t>Travel Time</t>
  </si>
  <si>
    <t>SHI</t>
  </si>
  <si>
    <t>Configuration Planning</t>
  </si>
  <si>
    <t>Technical Configuration Planning</t>
  </si>
  <si>
    <t xml:space="preserve"> Interface Planning</t>
  </si>
  <si>
    <t>Implemenation Configuration</t>
  </si>
  <si>
    <t>Implemenation Technical Configuration</t>
  </si>
  <si>
    <t>Implementation Development</t>
  </si>
  <si>
    <t>Implemenation Product Work</t>
  </si>
  <si>
    <t>Training Preparation</t>
  </si>
  <si>
    <t>UAT/Go-Live Project</t>
  </si>
  <si>
    <t>UAT/Go-Live Product</t>
  </si>
  <si>
    <t>Travel</t>
  </si>
  <si>
    <t>Project  Management</t>
  </si>
  <si>
    <t>Training/UAT/Go-Live</t>
  </si>
  <si>
    <t>PM</t>
  </si>
  <si>
    <t>Percentage</t>
  </si>
  <si>
    <t>Planning Configurator Percentage</t>
  </si>
  <si>
    <t>Planning Technical Configurator</t>
  </si>
  <si>
    <t>Planning BA Percentage</t>
  </si>
  <si>
    <t>Configurator</t>
  </si>
  <si>
    <t>Technical Configurator</t>
  </si>
  <si>
    <t>Interface Development</t>
  </si>
  <si>
    <t>Product Development</t>
  </si>
  <si>
    <t>Trainer</t>
  </si>
  <si>
    <t>UAT/GoLive Configurator</t>
  </si>
  <si>
    <t>UAT/GoLive Product Developer</t>
  </si>
  <si>
    <t xml:space="preserve">Project Manger </t>
  </si>
  <si>
    <t>Planning OPS Dev Environment Percentage</t>
  </si>
  <si>
    <t>OPS Test and Prod Environment Percentage</t>
  </si>
  <si>
    <t>Inteface QA</t>
  </si>
  <si>
    <t>Product  QA</t>
  </si>
  <si>
    <t>SIT QA</t>
  </si>
  <si>
    <t>UAT/GoLive Technical Configurator</t>
  </si>
  <si>
    <t>Project  Administrator</t>
  </si>
  <si>
    <t>UAT/GoLive Project Developer</t>
  </si>
  <si>
    <t>BA</t>
  </si>
  <si>
    <t>Estimated hours</t>
  </si>
  <si>
    <t>Pricing  hours</t>
  </si>
  <si>
    <t>Est. Number of  Days</t>
  </si>
  <si>
    <t>Pricing Number of  Days</t>
  </si>
  <si>
    <t>Est. Number of   Staff</t>
  </si>
  <si>
    <t>Pricing Number of   Staff</t>
  </si>
  <si>
    <t>Standard Travel Time</t>
  </si>
  <si>
    <t>Airfare</t>
  </si>
  <si>
    <t>Rental</t>
  </si>
  <si>
    <t>Per Diem Expense</t>
  </si>
  <si>
    <t>Est.   Travel Expense</t>
  </si>
  <si>
    <t>Price  Travel Expense</t>
  </si>
  <si>
    <t xml:space="preserve"> Training Activity</t>
  </si>
  <si>
    <t>Other</t>
  </si>
  <si>
    <t>Equipment Calculations</t>
  </si>
  <si>
    <t>Item/Component</t>
  </si>
  <si>
    <t>Model/Description</t>
  </si>
  <si>
    <t>Unit Price</t>
  </si>
  <si>
    <t>Quantity</t>
  </si>
  <si>
    <t>Extended    Price</t>
  </si>
  <si>
    <t>Receipt Printer</t>
  </si>
  <si>
    <t>Epson TM-M30III/USB/Thermal Printer</t>
  </si>
  <si>
    <t>Check Scanner - single check</t>
  </si>
  <si>
    <t>Digital Check CheXpress CX30-IJ</t>
  </si>
  <si>
    <t>Check Scanner</t>
  </si>
  <si>
    <t>Check Scanner - bulk scanning</t>
  </si>
  <si>
    <t>Digital Check TS 240</t>
  </si>
  <si>
    <t>Cash Drawer</t>
  </si>
  <si>
    <t>APG Series 4000 Electronic Cash Drawer with Multi-Pro interface cable</t>
  </si>
  <si>
    <t>Credit/Debit Device</t>
  </si>
  <si>
    <t>Ingenico Lane 7000 USB credit/debit PINPad with cables</t>
  </si>
  <si>
    <t>Cash Counter</t>
  </si>
  <si>
    <t>Cassida Zeus Cash Counter</t>
  </si>
  <si>
    <t xml:space="preserve">         Total Equipment</t>
  </si>
  <si>
    <t>NOTE- Build in Shipping Option</t>
  </si>
  <si>
    <t>HONEYWELL, MS9540 VOYAGER CG KIT, SCANNER, LIGHT GRAY, USB, WITH STAND</t>
  </si>
  <si>
    <t>Software-Base</t>
  </si>
  <si>
    <t>Units</t>
  </si>
  <si>
    <t>Monthly Price</t>
  </si>
  <si>
    <t>Teller Standard</t>
  </si>
  <si>
    <t>Includes 5 users and is for multi-department implementations</t>
  </si>
  <si>
    <t>Teller Basic</t>
  </si>
  <si>
    <t>Includes 5 users</t>
  </si>
  <si>
    <t>Additional Users &lt; 45</t>
  </si>
  <si>
    <t>Additional Users  45+</t>
  </si>
  <si>
    <t>If over 50 users, check on lower per user fee</t>
  </si>
  <si>
    <t>Software-Applications</t>
  </si>
  <si>
    <t>Price per scan</t>
  </si>
  <si>
    <t>Check Recognition/Bulk Scanning</t>
  </si>
  <si>
    <t>Based on number of annual scans</t>
  </si>
  <si>
    <t>Image Cash Letter</t>
  </si>
  <si>
    <t>Percentage of check recognition costs</t>
  </si>
  <si>
    <t>Image Cash Letter - Minimum</t>
  </si>
  <si>
    <t>Revenue Submission</t>
  </si>
  <si>
    <t>Based on number of departments/agencies submitting</t>
  </si>
  <si>
    <t>Workflow Submission</t>
  </si>
  <si>
    <t>Based on number of workflows</t>
  </si>
  <si>
    <t>Cost per transaction</t>
  </si>
  <si>
    <t>Online Customer Portal</t>
  </si>
  <si>
    <t>Based on number of annual transactions</t>
  </si>
  <si>
    <t>Online Forms</t>
  </si>
  <si>
    <t>Based on number of forms</t>
  </si>
  <si>
    <t>Software-Integrations</t>
  </si>
  <si>
    <t>Monthly cost for Real-time interface</t>
  </si>
  <si>
    <t>Monthly per online interface fee</t>
  </si>
  <si>
    <t>Monthly cost for Payment Import interface</t>
  </si>
  <si>
    <t>Financial Interface</t>
  </si>
  <si>
    <t>Software-Inflation</t>
  </si>
  <si>
    <t>Year 2</t>
  </si>
  <si>
    <t>Year 3</t>
  </si>
  <si>
    <t>Year 4</t>
  </si>
  <si>
    <t>Year 5</t>
  </si>
  <si>
    <t>Year 6</t>
  </si>
  <si>
    <t>Year 7</t>
  </si>
  <si>
    <t>Year 8</t>
  </si>
  <si>
    <t>Year 9</t>
  </si>
  <si>
    <t>Year 10</t>
  </si>
  <si>
    <t>Services Cost</t>
  </si>
  <si>
    <t>Hourly Rate</t>
  </si>
  <si>
    <t>Project Management Hourly Rate</t>
  </si>
  <si>
    <t xml:space="preserve">Implementation Plan - Standard </t>
  </si>
  <si>
    <t>Implementation Plan - Basic</t>
  </si>
  <si>
    <t>Future</t>
  </si>
  <si>
    <t>NOTE: if we know this is an older product consider extra hours</t>
  </si>
  <si>
    <t xml:space="preserve">         Online Form - Simple</t>
  </si>
  <si>
    <t xml:space="preserve">         Online Form - Medium</t>
  </si>
  <si>
    <t xml:space="preserve">         Online Form - Complex</t>
  </si>
  <si>
    <t xml:space="preserve">         Online Form - Workflow</t>
  </si>
  <si>
    <t>Implementation Plan - Setup</t>
  </si>
  <si>
    <t>Teller Config per Department</t>
  </si>
  <si>
    <t xml:space="preserve">         Image Cash Letter - Existing</t>
  </si>
  <si>
    <t xml:space="preserve">         Image Cash Letter - New</t>
  </si>
  <si>
    <t xml:space="preserve">         Online Customer Portal - New Portal</t>
  </si>
  <si>
    <t xml:space="preserve">         Online Customer Portal - Existing Interface (Base)</t>
  </si>
  <si>
    <t xml:space="preserve">         Online Customer Portal - New Interface (Additional)</t>
  </si>
  <si>
    <t xml:space="preserve">         Credit Processor  - Existing</t>
  </si>
  <si>
    <t xml:space="preserve">         Credit Processor  - New</t>
  </si>
  <si>
    <t xml:space="preserve">         Financials - Existing</t>
  </si>
  <si>
    <t xml:space="preserve">         Financials - New</t>
  </si>
  <si>
    <t xml:space="preserve">         Financials A/R - Existing</t>
  </si>
  <si>
    <t xml:space="preserve">         Financials A/R  - New</t>
  </si>
  <si>
    <t xml:space="preserve">         Bi-Directional - - Existing</t>
  </si>
  <si>
    <t xml:space="preserve">         Bi-Directional -  - New</t>
  </si>
  <si>
    <t xml:space="preserve">         Payment Import -  - Existing</t>
  </si>
  <si>
    <t xml:space="preserve">         Payment Import -  - New</t>
  </si>
  <si>
    <t>UAT Preparation</t>
  </si>
  <si>
    <t>Percentage of Implementation Hours</t>
  </si>
  <si>
    <t>Factor of number of training days</t>
  </si>
  <si>
    <t>Hours per month</t>
  </si>
  <si>
    <t>Travel Time Costs</t>
  </si>
  <si>
    <t>Travel Factors</t>
  </si>
  <si>
    <t>Travel Trip Cost</t>
  </si>
  <si>
    <t>Flight/Drive</t>
  </si>
  <si>
    <t>Travel Trip Cost - Zone 1</t>
  </si>
  <si>
    <t>Zone: Western US</t>
  </si>
  <si>
    <t>Travel Trip Cost - Zone 2</t>
  </si>
  <si>
    <t>Zone: Mid-Western US</t>
  </si>
  <si>
    <t>Travel Trip Cost - Zone 3</t>
  </si>
  <si>
    <t>Zone: Eastern US</t>
  </si>
  <si>
    <t>Travel Trip Cost - Zone 4</t>
  </si>
  <si>
    <t>Outside Continental US or Other</t>
  </si>
  <si>
    <t xml:space="preserve">                      Actual Zone (From Parameters)</t>
  </si>
  <si>
    <t xml:space="preserve"> - Per Diem Hotels</t>
  </si>
  <si>
    <t xml:space="preserve"> - Per Diem Meals</t>
  </si>
  <si>
    <t xml:space="preserve"> - Per Diem Rental</t>
  </si>
  <si>
    <t xml:space="preserve"> - Per Diem Other</t>
  </si>
  <si>
    <t>Travel Trips</t>
  </si>
  <si>
    <t>Complex Factor</t>
  </si>
  <si>
    <t>Days</t>
  </si>
  <si>
    <t>People</t>
  </si>
  <si>
    <t>Kickoff Analysis</t>
  </si>
  <si>
    <t>Actual (From Parameters)</t>
  </si>
  <si>
    <t>On Site Setup and Pre-UAT</t>
  </si>
  <si>
    <t xml:space="preserve">Implementation Plan - per Real-Time interface </t>
  </si>
  <si>
    <t>Total Per Diem</t>
  </si>
  <si>
    <t>Reserved future use</t>
  </si>
  <si>
    <t xml:space="preserve"> - Process consulting, etc.</t>
  </si>
  <si>
    <t>Assumptions</t>
  </si>
  <si>
    <t xml:space="preserve">Notes </t>
  </si>
  <si>
    <t>Pricing is based on:</t>
  </si>
  <si>
    <t>Integrations - Real Time</t>
  </si>
  <si>
    <t>o   Integration with Workday Financials and Accounts Receivables</t>
  </si>
  <si>
    <t>o   Image Cash Letter to Wells Fargo</t>
  </si>
  <si>
    <t>o   Check Recognition/Scanning (up to 15,000 annual scans).</t>
  </si>
  <si>
    <t>o   Online Customer Portal for Workday A/R (up to 50,000 annual transactions)</t>
  </si>
  <si>
    <t>o   Integration with Wells Fargo as the Credit Processor.</t>
  </si>
  <si>
    <t>o   Selected POS equipment (5 Digital Check CheXpress CX30 scanners).</t>
  </si>
  <si>
    <t>o   Revenue Submission Module</t>
  </si>
  <si>
    <t>o   Fees could increase or decrease depending on the detailed needs of the Client and a complete discovery by Can/Am.</t>
  </si>
  <si>
    <t>·        All quoted pricing is in US dollars and exclusive of any applicable taxes.</t>
  </si>
  <si>
    <t>·        All deliverables are provided on a Fixed Price basis.</t>
  </si>
  <si>
    <t>·        First year of hosting/licensing will be billed upon contract signing.</t>
  </si>
  <si>
    <t>·        25% of services are billed upon contract signing.</t>
  </si>
  <si>
    <t>·        No data conversion of cashiering data is anticipated in this project or included in the scope.</t>
  </si>
  <si>
    <t>·       Any requested integration with a software product that does not have an API already will require additional review and possibly additional hours</t>
  </si>
  <si>
    <t>·        Usage training is on a “train the trainer” basis, designed to enable the Client’s key users to train existing and future staff on Teller. It is assumed that Can/Am will provide one set of training with key Client staff and trainers, who will perform end-user training for each area.</t>
  </si>
  <si>
    <t>·        The travel and accommodation costs necessary to deliver the scope of this effort described in this document are estimated and will be billed based on actual travel costs per the Can/Am Travel Policy.  COVID may require a combination of remote and on-site implementation.</t>
  </si>
  <si>
    <r>
      <t xml:space="preserve">Client </t>
    </r>
    <r>
      <rPr>
        <sz val="11"/>
        <color rgb="FF4F81BD"/>
        <rFont val="Calibri"/>
        <family val="2"/>
        <scheme val="minor"/>
      </rPr>
      <t>Responsibilities</t>
    </r>
  </si>
  <si>
    <t>·        Provide available current cashiering process documentation, including copies of any forms or receipts used.</t>
  </si>
  <si>
    <t>·        Provide mandatory cash management controls required.</t>
  </si>
  <si>
    <t>·        Provide list of items for sale with applicable price &amp; account strings.</t>
  </si>
  <si>
    <t>·        Identify and provide subject matter experts to collaborate with CanAm.</t>
  </si>
  <si>
    <t>·        Attend analysis, demonstration, and training sessions.</t>
  </si>
  <si>
    <t>·        Create user acceptance testing scenarios and plans.</t>
  </si>
  <si>
    <t>·        Provide training to end users prior to go live.</t>
  </si>
  <si>
    <t>·        Acquire and set up all POS hardware and Credit Terminals (Through CanAm if desired).</t>
  </si>
  <si>
    <t>·        For all business application interfaces, obtain and provide the Teller implementation team with all API specifications and/or database connections and/or example files as well as a dev/test environment suitable for development of the interfaces. Where a test environment is not available, Client will provide a technical resource that will provide sample input data and validation of all output batch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</si>
</sst>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6" formatCode="&quot;$&quot;#,##0_);[Red]\(&quot;$&quot;#,##0\)"/>
    <numFmt numFmtId="44" formatCode="_(&quot;$&quot;* #,##0.00_);_(&quot;$&quot;* \(#,##0.00\);_(&quot;$&quot;* &quot;-&quot;??_);_(@_)"/>
    <numFmt numFmtId="164" formatCode="&quot;$&quot;#,##0"/>
    <numFmt numFmtId="165" formatCode="0.0"/>
    <numFmt numFmtId="166" formatCode="mm/dd/yy;@"/>
    <numFmt numFmtId="167" formatCode="#,##0.0"/>
    <numFmt numFmtId="168" formatCode="0.000"/>
    <numFmt numFmtId="169" formatCode="&quot;$&quot;#,##0.00"/>
    <numFmt numFmtId="170" formatCode="&quot;$&quot;#,##0.000000"/>
    <numFmt numFmtId="171" formatCode="_(&quot;$&quot;* #,##0.000_);_(&quot;$&quot;* \(#,##0.000\);_(&quot;$&quot;* &quot;-&quot;??_);_(@_)"/>
    <numFmt numFmtId="172" formatCode="_(&quot;$&quot;* #,##0.0000_);_(&quot;$&quot;* \(#,##0.0000\);_(&quot;$&quot;* &quot;-&quot;??_);_(@_)"/>
  </numFmts>
  <fonts count="31">
    <font>
      <sz val="11"/>
      <color theme="1"/>
      <name val="Calibri"/>
      <family val="2"/>
      <scheme val="minor"/>
    </font>
    <font>
      <sz val="11"/>
      <color theme="1"/>
      <name val="Calibri"/>
      <family val="2"/>
      <scheme val="minor"/>
    </font>
    <font>
      <b/>
      <sz val="15"/>
      <color theme="3"/>
      <name val="Calibri"/>
      <family val="2"/>
      <scheme val="minor"/>
    </font>
    <font>
      <b/>
      <i/>
      <sz val="11"/>
      <color theme="1"/>
      <name val="Calibri"/>
      <family val="2"/>
      <scheme val="minor"/>
    </font>
    <font>
      <b/>
      <sz val="14"/>
      <color theme="1"/>
      <name val="Calibri"/>
      <family val="2"/>
      <scheme val="minor"/>
    </font>
    <font>
      <b/>
      <i/>
      <sz val="12"/>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b/>
      <sz val="12"/>
      <color theme="1"/>
      <name val="Calibri"/>
      <family val="2"/>
      <scheme val="minor"/>
    </font>
    <font>
      <sz val="9"/>
      <color indexed="81"/>
      <name val="Tahoma"/>
      <family val="2"/>
    </font>
    <font>
      <b/>
      <sz val="9"/>
      <color indexed="81"/>
      <name val="Tahoma"/>
      <family val="2"/>
    </font>
    <font>
      <b/>
      <sz val="18"/>
      <color rgb="FFFF0000"/>
      <name val="Calibri"/>
      <family val="2"/>
      <scheme val="minor"/>
    </font>
    <font>
      <b/>
      <sz val="12"/>
      <color theme="1"/>
      <name val="Times New Roman"/>
      <family val="1"/>
    </font>
    <font>
      <b/>
      <sz val="11"/>
      <color theme="0"/>
      <name val="Calibri"/>
      <family val="2"/>
      <scheme val="minor"/>
    </font>
    <font>
      <sz val="11"/>
      <color theme="0"/>
      <name val="Calibri"/>
      <family val="2"/>
      <scheme val="minor"/>
    </font>
    <font>
      <b/>
      <sz val="15"/>
      <color theme="0"/>
      <name val="Calibri"/>
      <family val="2"/>
      <scheme val="minor"/>
    </font>
    <font>
      <sz val="11"/>
      <color theme="1"/>
      <name val="Calibri"/>
      <family val="2"/>
    </font>
    <font>
      <b/>
      <sz val="12"/>
      <color theme="1"/>
      <name val="Courier New"/>
      <family val="3"/>
    </font>
    <font>
      <b/>
      <sz val="12.5"/>
      <color theme="1"/>
      <name val="Times New Roman"/>
      <family val="1"/>
    </font>
    <font>
      <b/>
      <sz val="13"/>
      <color theme="1"/>
      <name val="Times New Roman"/>
      <family val="1"/>
    </font>
    <font>
      <b/>
      <sz val="12"/>
      <color theme="0"/>
      <name val="Calibri"/>
      <family val="2"/>
      <scheme val="minor"/>
    </font>
    <font>
      <b/>
      <sz val="11"/>
      <color rgb="FF000000"/>
      <name val="Calibri"/>
      <family val="2"/>
      <scheme val="minor"/>
    </font>
    <font>
      <b/>
      <sz val="11"/>
      <color rgb="FF4F81BD"/>
      <name val="Calibri"/>
      <family val="2"/>
      <scheme val="minor"/>
    </font>
    <font>
      <sz val="11"/>
      <color rgb="FF4F81BD"/>
      <name val="Calibri"/>
      <family val="2"/>
      <scheme val="minor"/>
    </font>
    <font>
      <b/>
      <sz val="9"/>
      <color rgb="FF000000"/>
      <name val="Tahoma"/>
      <family val="2"/>
    </font>
    <font>
      <sz val="9"/>
      <color rgb="FF000000"/>
      <name val="Tahoma"/>
      <family val="2"/>
    </font>
    <font>
      <sz val="10"/>
      <color rgb="FF000000"/>
      <name val="Tahoma"/>
      <family val="2"/>
    </font>
    <font>
      <i/>
      <sz val="11"/>
      <color theme="1"/>
      <name val="Calibri"/>
      <family val="2"/>
      <scheme val="minor"/>
    </font>
    <font>
      <sz val="8"/>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rgb="FFFFFF00"/>
        <bgColor indexed="64"/>
      </patternFill>
    </fill>
    <fill>
      <patternFill patternType="solid">
        <fgColor theme="4" tint="-0.24994659260841701"/>
        <bgColor indexed="64"/>
      </patternFill>
    </fill>
    <fill>
      <patternFill patternType="solid">
        <fgColor rgb="FFDDEBF7"/>
        <bgColor rgb="FF000000"/>
      </patternFill>
    </fill>
  </fills>
  <borders count="8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ck">
        <color auto="1"/>
      </left>
      <right/>
      <top/>
      <bottom/>
      <diagonal/>
    </border>
    <border>
      <left/>
      <right style="medium">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ck">
        <color auto="1"/>
      </right>
      <top style="thick">
        <color auto="1"/>
      </top>
      <bottom style="thick">
        <color auto="1"/>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right style="thin">
        <color indexed="64"/>
      </right>
      <top/>
      <bottom style="thin">
        <color indexed="64"/>
      </bottom>
      <diagonal/>
    </border>
    <border>
      <left style="thin">
        <color indexed="64"/>
      </left>
      <right/>
      <top style="thick">
        <color indexed="64"/>
      </top>
      <bottom style="thick">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ck">
        <color indexed="64"/>
      </right>
      <top/>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diagonal/>
    </border>
    <border>
      <left style="medium">
        <color indexed="64"/>
      </left>
      <right/>
      <top/>
      <bottom style="medium">
        <color indexed="64"/>
      </bottom>
      <diagonal/>
    </border>
    <border>
      <left/>
      <right/>
      <top/>
      <bottom style="medium">
        <color indexed="64"/>
      </bottom>
      <diagonal/>
    </border>
    <border>
      <left style="medium">
        <color auto="1"/>
      </left>
      <right style="medium">
        <color auto="1"/>
      </right>
      <top/>
      <bottom style="medium">
        <color auto="1"/>
      </bottom>
      <diagonal/>
    </border>
    <border>
      <left/>
      <right style="thin">
        <color indexed="64"/>
      </right>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n">
        <color indexed="64"/>
      </right>
      <top/>
      <bottom/>
      <diagonal/>
    </border>
    <border>
      <left style="thin">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ck">
        <color indexed="64"/>
      </right>
      <top style="thin">
        <color indexed="64"/>
      </top>
      <bottom style="thin">
        <color indexed="64"/>
      </bottom>
      <diagonal/>
    </border>
    <border>
      <left style="medium">
        <color auto="1"/>
      </left>
      <right/>
      <top style="thick">
        <color auto="1"/>
      </top>
      <bottom style="thick">
        <color auto="1"/>
      </bottom>
      <diagonal/>
    </border>
    <border>
      <left style="medium">
        <color auto="1"/>
      </left>
      <right style="thin">
        <color indexed="64"/>
      </right>
      <top/>
      <bottom style="thin">
        <color indexed="64"/>
      </bottom>
      <diagonal/>
    </border>
    <border>
      <left style="medium">
        <color auto="1"/>
      </left>
      <right style="thin">
        <color indexed="64"/>
      </right>
      <top style="thin">
        <color indexed="64"/>
      </top>
      <bottom style="thin">
        <color indexed="64"/>
      </bottom>
      <diagonal/>
    </border>
    <border>
      <left style="medium">
        <color auto="1"/>
      </left>
      <right style="thin">
        <color indexed="64"/>
      </right>
      <top style="thin">
        <color indexed="64"/>
      </top>
      <bottom style="medium">
        <color auto="1"/>
      </bottom>
      <diagonal/>
    </border>
    <border>
      <left/>
      <right/>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bottom/>
      <diagonal/>
    </border>
    <border>
      <left/>
      <right style="double">
        <color indexed="64"/>
      </right>
      <top style="double">
        <color indexed="64"/>
      </top>
      <bottom/>
      <diagonal/>
    </border>
    <border>
      <left style="double">
        <color indexed="64"/>
      </left>
      <right/>
      <top/>
      <bottom/>
      <diagonal/>
    </border>
    <border>
      <left style="thin">
        <color indexed="64"/>
      </left>
      <right style="double">
        <color indexed="64"/>
      </right>
      <top/>
      <bottom style="thin">
        <color indexed="64"/>
      </bottom>
      <diagonal/>
    </border>
    <border>
      <left/>
      <right style="double">
        <color indexed="64"/>
      </right>
      <top/>
      <bottom style="double">
        <color indexed="64"/>
      </bottom>
      <diagonal/>
    </border>
    <border>
      <left style="double">
        <color indexed="64"/>
      </left>
      <right/>
      <top/>
      <bottom style="double">
        <color indexed="64"/>
      </bottom>
      <diagonal/>
    </border>
  </borders>
  <cellStyleXfs count="37">
    <xf numFmtId="0" fontId="0" fillId="0" borderId="0"/>
    <xf numFmtId="44" fontId="1" fillId="0" borderId="0" applyFont="0" applyFill="0" applyBorder="0" applyAlignment="0" applyProtection="0"/>
    <xf numFmtId="0" fontId="2" fillId="0" borderId="1" applyNumberFormat="0" applyFill="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70">
    <xf numFmtId="0" fontId="0" fillId="0" borderId="0" xfId="0"/>
    <xf numFmtId="0" fontId="3" fillId="0" borderId="0" xfId="0" applyFont="1"/>
    <xf numFmtId="0" fontId="6" fillId="0" borderId="0" xfId="0" applyFont="1"/>
    <xf numFmtId="44" fontId="0" fillId="0" borderId="0" xfId="0" applyNumberFormat="1"/>
    <xf numFmtId="0" fontId="9" fillId="0" borderId="0" xfId="0" applyFont="1"/>
    <xf numFmtId="0" fontId="9" fillId="0" borderId="0" xfId="0" applyFont="1" applyAlignment="1">
      <alignment wrapText="1"/>
    </xf>
    <xf numFmtId="44" fontId="9" fillId="0" borderId="0" xfId="0" applyNumberFormat="1" applyFont="1"/>
    <xf numFmtId="0" fontId="0" fillId="0" borderId="0" xfId="0" applyAlignment="1">
      <alignment horizontal="center"/>
    </xf>
    <xf numFmtId="0" fontId="0" fillId="0" borderId="2" xfId="0" applyBorder="1"/>
    <xf numFmtId="0" fontId="0" fillId="0" borderId="4" xfId="0" applyBorder="1"/>
    <xf numFmtId="44" fontId="0" fillId="0" borderId="3" xfId="0" applyNumberFormat="1" applyBorder="1"/>
    <xf numFmtId="44" fontId="0" fillId="0" borderId="3" xfId="1" applyFont="1" applyBorder="1" applyAlignment="1">
      <alignment horizontal="center"/>
    </xf>
    <xf numFmtId="44" fontId="0" fillId="0" borderId="5" xfId="1" applyFont="1" applyBorder="1"/>
    <xf numFmtId="164" fontId="0" fillId="0" borderId="0" xfId="0" applyNumberFormat="1" applyAlignment="1">
      <alignment horizontal="center"/>
    </xf>
    <xf numFmtId="164" fontId="0" fillId="0" borderId="2" xfId="0" applyNumberFormat="1" applyBorder="1" applyAlignment="1">
      <alignment horizontal="center"/>
    </xf>
    <xf numFmtId="164" fontId="0" fillId="0" borderId="6" xfId="0" applyNumberFormat="1" applyBorder="1" applyAlignment="1">
      <alignment horizontal="center"/>
    </xf>
    <xf numFmtId="3" fontId="0" fillId="0" borderId="2" xfId="0" applyNumberFormat="1" applyBorder="1" applyAlignment="1">
      <alignment horizontal="center"/>
    </xf>
    <xf numFmtId="0" fontId="0" fillId="0" borderId="6" xfId="0" applyBorder="1"/>
    <xf numFmtId="0" fontId="0" fillId="0" borderId="14" xfId="0" applyBorder="1"/>
    <xf numFmtId="5" fontId="0" fillId="0" borderId="5" xfId="1" applyNumberFormat="1" applyFont="1" applyBorder="1"/>
    <xf numFmtId="5" fontId="0" fillId="0" borderId="3" xfId="1" applyNumberFormat="1" applyFont="1" applyBorder="1" applyAlignment="1">
      <alignment horizontal="center"/>
    </xf>
    <xf numFmtId="0" fontId="0" fillId="0" borderId="0" xfId="0" applyAlignment="1">
      <alignment wrapText="1"/>
    </xf>
    <xf numFmtId="0" fontId="0" fillId="2" borderId="7" xfId="0" applyFill="1" applyBorder="1"/>
    <xf numFmtId="5" fontId="6" fillId="2" borderId="7" xfId="1" applyNumberFormat="1" applyFont="1" applyFill="1" applyBorder="1" applyAlignment="1">
      <alignment horizontal="center"/>
    </xf>
    <xf numFmtId="5" fontId="6" fillId="2" borderId="17" xfId="1" applyNumberFormat="1" applyFont="1" applyFill="1" applyBorder="1"/>
    <xf numFmtId="0" fontId="0" fillId="0" borderId="11" xfId="0" applyBorder="1"/>
    <xf numFmtId="164" fontId="6" fillId="2" borderId="7" xfId="1" applyNumberFormat="1" applyFont="1" applyFill="1" applyBorder="1" applyAlignment="1">
      <alignment horizontal="center"/>
    </xf>
    <xf numFmtId="0" fontId="0" fillId="0" borderId="22" xfId="0" applyBorder="1"/>
    <xf numFmtId="164" fontId="0" fillId="0" borderId="3" xfId="0" applyNumberFormat="1" applyBorder="1" applyAlignment="1">
      <alignment horizontal="center"/>
    </xf>
    <xf numFmtId="0" fontId="4" fillId="0" borderId="4" xfId="0" applyFont="1" applyBorder="1" applyAlignment="1">
      <alignment horizontal="center"/>
    </xf>
    <xf numFmtId="1" fontId="0" fillId="0" borderId="4" xfId="0" applyNumberFormat="1" applyBorder="1" applyAlignment="1">
      <alignment horizontal="center"/>
    </xf>
    <xf numFmtId="2" fontId="0" fillId="0" borderId="2" xfId="0" applyNumberFormat="1" applyBorder="1" applyAlignment="1">
      <alignment horizontal="center"/>
    </xf>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3" xfId="0" applyBorder="1"/>
    <xf numFmtId="1" fontId="6" fillId="2" borderId="16" xfId="0" applyNumberFormat="1" applyFont="1" applyFill="1" applyBorder="1" applyAlignment="1">
      <alignment horizontal="center" wrapText="1"/>
    </xf>
    <xf numFmtId="0" fontId="0" fillId="0" borderId="2" xfId="0" applyBorder="1" applyAlignment="1">
      <alignment horizontal="center"/>
    </xf>
    <xf numFmtId="0" fontId="1" fillId="0" borderId="0" xfId="0" applyFont="1"/>
    <xf numFmtId="0" fontId="1" fillId="0" borderId="0" xfId="0" applyFont="1" applyAlignment="1">
      <alignment horizontal="center"/>
    </xf>
    <xf numFmtId="0" fontId="10" fillId="0" borderId="4" xfId="0" applyFont="1" applyBorder="1"/>
    <xf numFmtId="44" fontId="10" fillId="0" borderId="3" xfId="1" applyFont="1" applyBorder="1" applyAlignment="1">
      <alignment horizontal="center"/>
    </xf>
    <xf numFmtId="44" fontId="10" fillId="0" borderId="5" xfId="1" applyFont="1" applyBorder="1" applyAlignment="1">
      <alignment horizontal="center"/>
    </xf>
    <xf numFmtId="44" fontId="10" fillId="0" borderId="3" xfId="1" applyFont="1" applyBorder="1"/>
    <xf numFmtId="0" fontId="1" fillId="0" borderId="22" xfId="0" applyFont="1" applyBorder="1"/>
    <xf numFmtId="0" fontId="10" fillId="0" borderId="4" xfId="0" applyFont="1" applyBorder="1" applyAlignment="1">
      <alignment wrapText="1"/>
    </xf>
    <xf numFmtId="164" fontId="10" fillId="0" borderId="3" xfId="0" applyNumberFormat="1" applyFont="1" applyBorder="1" applyAlignment="1">
      <alignment horizontal="center" wrapText="1"/>
    </xf>
    <xf numFmtId="5" fontId="10" fillId="0" borderId="3" xfId="1" applyNumberFormat="1" applyFont="1" applyBorder="1" applyAlignment="1">
      <alignment wrapText="1"/>
    </xf>
    <xf numFmtId="5" fontId="10" fillId="0" borderId="3" xfId="1" applyNumberFormat="1" applyFont="1" applyBorder="1" applyAlignment="1">
      <alignment horizontal="center" wrapText="1"/>
    </xf>
    <xf numFmtId="0" fontId="1" fillId="0" borderId="22" xfId="0" applyFont="1" applyBorder="1" applyAlignment="1">
      <alignment wrapText="1"/>
    </xf>
    <xf numFmtId="3" fontId="10" fillId="0" borderId="3" xfId="1" applyNumberFormat="1" applyFont="1" applyBorder="1" applyAlignment="1">
      <alignment horizontal="center" wrapText="1"/>
    </xf>
    <xf numFmtId="3" fontId="10" fillId="0" borderId="5" xfId="1" applyNumberFormat="1" applyFont="1" applyBorder="1" applyAlignment="1">
      <alignment horizontal="center" wrapText="1"/>
    </xf>
    <xf numFmtId="164" fontId="10" fillId="0" borderId="3" xfId="1" applyNumberFormat="1" applyFont="1" applyBorder="1" applyAlignment="1">
      <alignment horizontal="center" wrapText="1"/>
    </xf>
    <xf numFmtId="3" fontId="10" fillId="0" borderId="19" xfId="1" applyNumberFormat="1" applyFont="1" applyBorder="1" applyAlignment="1">
      <alignment horizontal="center" wrapText="1"/>
    </xf>
    <xf numFmtId="44" fontId="1" fillId="0" borderId="3" xfId="0" applyNumberFormat="1" applyFont="1" applyBorder="1" applyAlignment="1">
      <alignment wrapText="1"/>
    </xf>
    <xf numFmtId="5" fontId="10" fillId="0" borderId="5" xfId="1" applyNumberFormat="1" applyFont="1" applyBorder="1" applyAlignment="1">
      <alignment wrapText="1"/>
    </xf>
    <xf numFmtId="0" fontId="0" fillId="0" borderId="6" xfId="0" applyBorder="1" applyAlignment="1">
      <alignment horizontal="center"/>
    </xf>
    <xf numFmtId="0" fontId="6" fillId="0" borderId="2" xfId="0" applyFont="1" applyBorder="1" applyAlignment="1">
      <alignment horizontal="center"/>
    </xf>
    <xf numFmtId="0" fontId="6" fillId="0" borderId="0" xfId="0" applyFont="1" applyAlignment="1">
      <alignment horizontal="center"/>
    </xf>
    <xf numFmtId="0" fontId="13" fillId="0" borderId="0" xfId="0" applyFont="1"/>
    <xf numFmtId="0" fontId="6" fillId="4" borderId="4" xfId="0" applyFont="1" applyFill="1" applyBorder="1" applyAlignment="1">
      <alignment horizontal="center"/>
    </xf>
    <xf numFmtId="0" fontId="6" fillId="4" borderId="3" xfId="0" applyFont="1" applyFill="1" applyBorder="1" applyAlignment="1">
      <alignment horizontal="center" wrapText="1"/>
    </xf>
    <xf numFmtId="0" fontId="3" fillId="4" borderId="5" xfId="0" applyFont="1" applyFill="1" applyBorder="1" applyAlignment="1">
      <alignment horizontal="center" wrapText="1"/>
    </xf>
    <xf numFmtId="0" fontId="3" fillId="4" borderId="3" xfId="0" applyFont="1" applyFill="1" applyBorder="1" applyAlignment="1">
      <alignment horizontal="center" wrapText="1"/>
    </xf>
    <xf numFmtId="1" fontId="0" fillId="4" borderId="4" xfId="0" applyNumberFormat="1" applyFill="1" applyBorder="1" applyAlignment="1">
      <alignment horizontal="center"/>
    </xf>
    <xf numFmtId="164" fontId="0" fillId="4" borderId="3" xfId="0" applyNumberFormat="1" applyFill="1" applyBorder="1" applyAlignment="1">
      <alignment horizontal="center"/>
    </xf>
    <xf numFmtId="5" fontId="0" fillId="4" borderId="5" xfId="1" applyNumberFormat="1" applyFont="1" applyFill="1" applyBorder="1"/>
    <xf numFmtId="5" fontId="0" fillId="4" borderId="3" xfId="1" applyNumberFormat="1" applyFont="1" applyFill="1" applyBorder="1" applyAlignment="1">
      <alignment horizontal="center"/>
    </xf>
    <xf numFmtId="0" fontId="0" fillId="4" borderId="22" xfId="0" applyFill="1" applyBorder="1"/>
    <xf numFmtId="44" fontId="0" fillId="4" borderId="3" xfId="0" applyNumberFormat="1" applyFill="1" applyBorder="1"/>
    <xf numFmtId="1" fontId="15" fillId="5" borderId="16" xfId="0" applyNumberFormat="1" applyFont="1" applyFill="1" applyBorder="1" applyAlignment="1">
      <alignment horizontal="center"/>
    </xf>
    <xf numFmtId="164" fontId="15" fillId="5" borderId="7" xfId="1" applyNumberFormat="1" applyFont="1" applyFill="1" applyBorder="1" applyAlignment="1">
      <alignment horizontal="center"/>
    </xf>
    <xf numFmtId="5" fontId="15" fillId="5" borderId="17" xfId="1" applyNumberFormat="1" applyFont="1" applyFill="1" applyBorder="1"/>
    <xf numFmtId="0" fontId="16" fillId="5" borderId="7" xfId="0" applyFont="1" applyFill="1" applyBorder="1"/>
    <xf numFmtId="0" fontId="0" fillId="0" borderId="21" xfId="0" applyBorder="1"/>
    <xf numFmtId="164" fontId="0" fillId="0" borderId="0" xfId="0" applyNumberFormat="1"/>
    <xf numFmtId="2" fontId="0" fillId="0" borderId="0" xfId="0" applyNumberFormat="1" applyAlignment="1">
      <alignment horizontal="center"/>
    </xf>
    <xf numFmtId="164" fontId="6" fillId="4" borderId="33" xfId="0" applyNumberFormat="1" applyFont="1" applyFill="1" applyBorder="1" applyAlignment="1">
      <alignment horizontal="center"/>
    </xf>
    <xf numFmtId="0" fontId="15" fillId="5" borderId="8" xfId="0" applyFont="1" applyFill="1" applyBorder="1" applyAlignment="1">
      <alignment horizontal="center"/>
    </xf>
    <xf numFmtId="0" fontId="15" fillId="5" borderId="34" xfId="0" applyFont="1" applyFill="1" applyBorder="1" applyAlignment="1">
      <alignment horizontal="center"/>
    </xf>
    <xf numFmtId="0" fontId="15" fillId="5" borderId="9" xfId="0" applyFont="1" applyFill="1" applyBorder="1" applyAlignment="1">
      <alignment horizontal="center"/>
    </xf>
    <xf numFmtId="0" fontId="6" fillId="4" borderId="6" xfId="0" applyFont="1" applyFill="1" applyBorder="1"/>
    <xf numFmtId="165" fontId="6" fillId="4" borderId="9" xfId="0" applyNumberFormat="1" applyFont="1" applyFill="1" applyBorder="1" applyAlignment="1">
      <alignment horizontal="center"/>
    </xf>
    <xf numFmtId="0" fontId="6" fillId="7" borderId="2" xfId="0" applyFont="1" applyFill="1" applyBorder="1" applyAlignment="1">
      <alignment horizontal="center"/>
    </xf>
    <xf numFmtId="0" fontId="0" fillId="7" borderId="2" xfId="0" applyFill="1" applyBorder="1" applyAlignment="1">
      <alignment horizontal="center"/>
    </xf>
    <xf numFmtId="0" fontId="0" fillId="0" borderId="35" xfId="0" applyBorder="1"/>
    <xf numFmtId="166" fontId="0" fillId="0" borderId="0" xfId="0" applyNumberFormat="1"/>
    <xf numFmtId="166" fontId="15" fillId="5" borderId="10" xfId="0" applyNumberFormat="1" applyFont="1" applyFill="1" applyBorder="1" applyAlignment="1">
      <alignment horizontal="center"/>
    </xf>
    <xf numFmtId="0" fontId="22" fillId="5" borderId="8" xfId="0" applyFont="1" applyFill="1" applyBorder="1" applyAlignment="1">
      <alignment horizontal="center" vertical="center"/>
    </xf>
    <xf numFmtId="0" fontId="22" fillId="5" borderId="10" xfId="0" applyFont="1" applyFill="1" applyBorder="1" applyAlignment="1">
      <alignment horizontal="center" vertical="center"/>
    </xf>
    <xf numFmtId="0" fontId="0" fillId="0" borderId="2" xfId="0" applyBorder="1" applyAlignment="1">
      <alignment wrapText="1"/>
    </xf>
    <xf numFmtId="0" fontId="9" fillId="0" borderId="2" xfId="0" applyFont="1" applyBorder="1" applyAlignment="1">
      <alignment horizontal="left" vertical="center" wrapText="1"/>
    </xf>
    <xf numFmtId="0" fontId="6" fillId="0" borderId="6" xfId="0" applyFont="1" applyBorder="1" applyAlignment="1">
      <alignment horizontal="center" vertical="center"/>
    </xf>
    <xf numFmtId="166" fontId="0" fillId="0" borderId="6" xfId="0" applyNumberFormat="1" applyBorder="1"/>
    <xf numFmtId="0" fontId="23" fillId="4" borderId="6" xfId="0" applyFont="1" applyFill="1" applyBorder="1" applyAlignment="1">
      <alignment horizontal="left" vertical="center" indent="5"/>
    </xf>
    <xf numFmtId="0" fontId="6" fillId="4" borderId="27" xfId="0" applyFont="1" applyFill="1" applyBorder="1" applyAlignment="1">
      <alignment horizontal="center"/>
    </xf>
    <xf numFmtId="164" fontId="6" fillId="4" borderId="2" xfId="0" applyNumberFormat="1" applyFont="1" applyFill="1" applyBorder="1" applyAlignment="1">
      <alignment horizontal="center"/>
    </xf>
    <xf numFmtId="165" fontId="6" fillId="4" borderId="2" xfId="0" applyNumberFormat="1" applyFont="1" applyFill="1" applyBorder="1" applyAlignment="1">
      <alignment horizontal="center"/>
    </xf>
    <xf numFmtId="165" fontId="0" fillId="0" borderId="6" xfId="0" applyNumberFormat="1" applyBorder="1" applyAlignment="1">
      <alignment horizontal="center"/>
    </xf>
    <xf numFmtId="165" fontId="0" fillId="0" borderId="2" xfId="0" applyNumberFormat="1" applyBorder="1" applyAlignment="1">
      <alignment horizontal="center"/>
    </xf>
    <xf numFmtId="165" fontId="0" fillId="0" borderId="0" xfId="0" applyNumberFormat="1" applyAlignment="1">
      <alignment horizontal="center"/>
    </xf>
    <xf numFmtId="167" fontId="0" fillId="0" borderId="2" xfId="0" applyNumberFormat="1" applyBorder="1" applyAlignment="1">
      <alignment horizontal="center"/>
    </xf>
    <xf numFmtId="3" fontId="0" fillId="0" borderId="6" xfId="0" applyNumberFormat="1" applyBorder="1" applyAlignment="1">
      <alignment horizontal="center"/>
    </xf>
    <xf numFmtId="164" fontId="0" fillId="0" borderId="39" xfId="0" applyNumberFormat="1" applyBorder="1" applyAlignment="1">
      <alignment horizontal="center"/>
    </xf>
    <xf numFmtId="0" fontId="0" fillId="0" borderId="45" xfId="0" applyBorder="1"/>
    <xf numFmtId="0" fontId="0" fillId="0" borderId="46" xfId="0" applyBorder="1"/>
    <xf numFmtId="3" fontId="0" fillId="0" borderId="46" xfId="0" applyNumberFormat="1" applyBorder="1" applyAlignment="1">
      <alignment horizontal="center"/>
    </xf>
    <xf numFmtId="164" fontId="0" fillId="0" borderId="46" xfId="0" applyNumberFormat="1" applyBorder="1" applyAlignment="1">
      <alignment horizontal="center"/>
    </xf>
    <xf numFmtId="0" fontId="0" fillId="0" borderId="47" xfId="0" applyBorder="1"/>
    <xf numFmtId="0" fontId="0" fillId="0" borderId="48" xfId="0" applyBorder="1"/>
    <xf numFmtId="3" fontId="0" fillId="0" borderId="48" xfId="0" applyNumberFormat="1" applyBorder="1" applyAlignment="1">
      <alignment horizontal="center"/>
    </xf>
    <xf numFmtId="164" fontId="0" fillId="0" borderId="48" xfId="0" applyNumberFormat="1" applyBorder="1" applyAlignment="1">
      <alignment horizontal="center"/>
    </xf>
    <xf numFmtId="0" fontId="0" fillId="0" borderId="49" xfId="0" applyBorder="1"/>
    <xf numFmtId="0" fontId="0" fillId="0" borderId="50" xfId="0" applyBorder="1"/>
    <xf numFmtId="3" fontId="0" fillId="0" borderId="50" xfId="0" applyNumberFormat="1" applyBorder="1" applyAlignment="1">
      <alignment horizontal="center"/>
    </xf>
    <xf numFmtId="164" fontId="0" fillId="0" borderId="50" xfId="0" applyNumberFormat="1" applyBorder="1" applyAlignment="1">
      <alignment horizontal="center"/>
    </xf>
    <xf numFmtId="0" fontId="0" fillId="0" borderId="51" xfId="0" applyBorder="1"/>
    <xf numFmtId="0" fontId="0" fillId="0" borderId="52" xfId="0" applyBorder="1"/>
    <xf numFmtId="3" fontId="0" fillId="0" borderId="52" xfId="0" applyNumberFormat="1" applyBorder="1" applyAlignment="1">
      <alignment horizontal="center"/>
    </xf>
    <xf numFmtId="164" fontId="0" fillId="0" borderId="52" xfId="0" applyNumberFormat="1" applyBorder="1" applyAlignment="1">
      <alignment horizontal="center"/>
    </xf>
    <xf numFmtId="0" fontId="0" fillId="0" borderId="43" xfId="0" applyBorder="1"/>
    <xf numFmtId="3" fontId="0" fillId="0" borderId="41" xfId="0" applyNumberFormat="1" applyBorder="1" applyAlignment="1">
      <alignment horizontal="center"/>
    </xf>
    <xf numFmtId="0" fontId="6" fillId="4" borderId="40" xfId="0" applyFont="1" applyFill="1" applyBorder="1"/>
    <xf numFmtId="3" fontId="0" fillId="0" borderId="53" xfId="0" applyNumberFormat="1" applyBorder="1" applyAlignment="1">
      <alignment horizontal="center"/>
    </xf>
    <xf numFmtId="0" fontId="0" fillId="0" borderId="44" xfId="0" applyBorder="1"/>
    <xf numFmtId="165" fontId="6" fillId="4" borderId="35" xfId="0" applyNumberFormat="1" applyFont="1" applyFill="1" applyBorder="1" applyAlignment="1">
      <alignment horizontal="center"/>
    </xf>
    <xf numFmtId="0" fontId="0" fillId="0" borderId="41" xfId="0" applyBorder="1" applyAlignment="1">
      <alignment horizontal="center"/>
    </xf>
    <xf numFmtId="0" fontId="0" fillId="0" borderId="39" xfId="0" applyBorder="1"/>
    <xf numFmtId="0" fontId="6" fillId="0" borderId="50" xfId="0" applyFont="1" applyBorder="1" applyAlignment="1">
      <alignment horizontal="center" vertical="center"/>
    </xf>
    <xf numFmtId="4" fontId="0" fillId="0" borderId="2" xfId="0" applyNumberFormat="1" applyBorder="1" applyAlignment="1">
      <alignment horizontal="center"/>
    </xf>
    <xf numFmtId="3" fontId="0" fillId="0" borderId="54" xfId="0" applyNumberFormat="1" applyBorder="1" applyAlignment="1">
      <alignment horizontal="center"/>
    </xf>
    <xf numFmtId="0" fontId="0" fillId="0" borderId="40" xfId="0" applyBorder="1"/>
    <xf numFmtId="3" fontId="0" fillId="0" borderId="35" xfId="0" applyNumberFormat="1" applyBorder="1" applyAlignment="1">
      <alignment horizontal="center"/>
    </xf>
    <xf numFmtId="44" fontId="0" fillId="0" borderId="2" xfId="1" applyFont="1" applyBorder="1" applyAlignment="1">
      <alignment horizontal="center"/>
    </xf>
    <xf numFmtId="44" fontId="0" fillId="0" borderId="2" xfId="1" applyFont="1" applyBorder="1"/>
    <xf numFmtId="0" fontId="6" fillId="2" borderId="2" xfId="0" applyFont="1" applyFill="1" applyBorder="1" applyAlignment="1">
      <alignment horizontal="center"/>
    </xf>
    <xf numFmtId="44" fontId="3" fillId="0" borderId="2" xfId="1" applyFont="1" applyBorder="1"/>
    <xf numFmtId="5" fontId="0" fillId="0" borderId="2" xfId="1" applyNumberFormat="1" applyFont="1" applyBorder="1" applyAlignment="1">
      <alignment horizontal="center"/>
    </xf>
    <xf numFmtId="5" fontId="0" fillId="0" borderId="2" xfId="1" applyNumberFormat="1" applyFont="1" applyBorder="1"/>
    <xf numFmtId="0" fontId="6" fillId="2" borderId="2" xfId="0" applyFont="1" applyFill="1" applyBorder="1"/>
    <xf numFmtId="2" fontId="6" fillId="2" borderId="2" xfId="0" applyNumberFormat="1" applyFont="1" applyFill="1" applyBorder="1" applyAlignment="1">
      <alignment horizontal="center"/>
    </xf>
    <xf numFmtId="164" fontId="6" fillId="2" borderId="2" xfId="0" applyNumberFormat="1" applyFont="1" applyFill="1" applyBorder="1" applyAlignment="1">
      <alignment horizontal="center"/>
    </xf>
    <xf numFmtId="164" fontId="6" fillId="2" borderId="2" xfId="1" applyNumberFormat="1" applyFont="1" applyFill="1" applyBorder="1" applyAlignment="1">
      <alignment horizontal="center"/>
    </xf>
    <xf numFmtId="2" fontId="6" fillId="0" borderId="2" xfId="0" applyNumberFormat="1" applyFont="1" applyBorder="1" applyAlignment="1">
      <alignment horizontal="center"/>
    </xf>
    <xf numFmtId="44" fontId="6" fillId="0" borderId="2" xfId="1" applyFont="1" applyBorder="1" applyAlignment="1">
      <alignment horizontal="center"/>
    </xf>
    <xf numFmtId="5" fontId="6" fillId="2" borderId="2" xfId="1" applyNumberFormat="1" applyFont="1" applyFill="1" applyBorder="1" applyAlignment="1">
      <alignment horizontal="center"/>
    </xf>
    <xf numFmtId="0" fontId="6" fillId="3" borderId="2" xfId="0" applyFont="1" applyFill="1" applyBorder="1"/>
    <xf numFmtId="2" fontId="6" fillId="3" borderId="2" xfId="0" applyNumberFormat="1" applyFont="1" applyFill="1" applyBorder="1" applyAlignment="1">
      <alignment horizontal="center"/>
    </xf>
    <xf numFmtId="5" fontId="6" fillId="3" borderId="2" xfId="1" applyNumberFormat="1" applyFont="1" applyFill="1" applyBorder="1" applyAlignment="1">
      <alignment horizontal="center"/>
    </xf>
    <xf numFmtId="44" fontId="6" fillId="3" borderId="2" xfId="1" applyFont="1" applyFill="1" applyBorder="1"/>
    <xf numFmtId="0" fontId="3" fillId="0" borderId="2" xfId="0" applyFont="1" applyBorder="1"/>
    <xf numFmtId="0" fontId="6" fillId="3" borderId="56" xfId="0" applyFont="1" applyFill="1" applyBorder="1"/>
    <xf numFmtId="2" fontId="6" fillId="3" borderId="57" xfId="0" applyNumberFormat="1" applyFont="1" applyFill="1" applyBorder="1" applyAlignment="1">
      <alignment horizontal="center"/>
    </xf>
    <xf numFmtId="5" fontId="6" fillId="3" borderId="58" xfId="1" applyNumberFormat="1" applyFont="1" applyFill="1" applyBorder="1" applyAlignment="1">
      <alignment horizontal="center"/>
    </xf>
    <xf numFmtId="44" fontId="6" fillId="3" borderId="57" xfId="1" applyFont="1" applyFill="1" applyBorder="1"/>
    <xf numFmtId="0" fontId="6" fillId="4" borderId="40" xfId="0" applyFont="1" applyFill="1" applyBorder="1" applyAlignment="1">
      <alignment horizontal="center"/>
    </xf>
    <xf numFmtId="0" fontId="4" fillId="0" borderId="50" xfId="0" applyFont="1" applyBorder="1"/>
    <xf numFmtId="2" fontId="0" fillId="0" borderId="6" xfId="0" applyNumberFormat="1" applyBorder="1" applyAlignment="1">
      <alignment horizontal="center"/>
    </xf>
    <xf numFmtId="0" fontId="3" fillId="4" borderId="8" xfId="0" applyFont="1" applyFill="1" applyBorder="1" applyAlignment="1">
      <alignment horizontal="center"/>
    </xf>
    <xf numFmtId="2" fontId="3" fillId="4" borderId="9" xfId="0" applyNumberFormat="1" applyFont="1" applyFill="1" applyBorder="1" applyAlignment="1">
      <alignment horizontal="center" wrapText="1"/>
    </xf>
    <xf numFmtId="0" fontId="3" fillId="4" borderId="9" xfId="0" applyFont="1" applyFill="1" applyBorder="1" applyAlignment="1">
      <alignment horizontal="center" wrapText="1"/>
    </xf>
    <xf numFmtId="0" fontId="0" fillId="0" borderId="2" xfId="0" applyBorder="1" applyAlignment="1">
      <alignment horizontal="justify" vertical="center" wrapText="1"/>
    </xf>
    <xf numFmtId="0" fontId="24" fillId="0" borderId="2" xfId="0" applyFont="1" applyBorder="1" applyAlignment="1">
      <alignment vertical="center" wrapText="1"/>
    </xf>
    <xf numFmtId="0" fontId="0" fillId="6" borderId="2" xfId="0" applyFill="1" applyBorder="1"/>
    <xf numFmtId="0" fontId="0" fillId="4" borderId="2" xfId="0" applyFill="1" applyBorder="1" applyAlignment="1">
      <alignment wrapText="1"/>
    </xf>
    <xf numFmtId="0" fontId="6" fillId="4" borderId="40" xfId="0" applyFont="1" applyFill="1" applyBorder="1" applyAlignment="1">
      <alignment horizontal="center" vertical="center" wrapText="1"/>
    </xf>
    <xf numFmtId="0" fontId="0" fillId="4" borderId="35" xfId="0" applyFill="1" applyBorder="1" applyAlignment="1">
      <alignment horizontal="center" vertical="center" wrapText="1"/>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166" fontId="0" fillId="0" borderId="2" xfId="0" applyNumberFormat="1" applyBorder="1" applyAlignment="1">
      <alignment wrapText="1"/>
    </xf>
    <xf numFmtId="0" fontId="19" fillId="0" borderId="2" xfId="0" applyFont="1" applyBorder="1" applyAlignment="1">
      <alignment horizontal="center" vertical="center" wrapText="1"/>
    </xf>
    <xf numFmtId="0" fontId="6" fillId="0" borderId="2" xfId="0" applyFont="1" applyBorder="1" applyAlignment="1">
      <alignment vertical="center" wrapText="1"/>
    </xf>
    <xf numFmtId="0" fontId="1" fillId="0" borderId="2" xfId="0" applyFont="1" applyBorder="1" applyAlignment="1">
      <alignment vertical="center" wrapText="1"/>
    </xf>
    <xf numFmtId="0" fontId="18" fillId="0" borderId="2" xfId="0" applyFont="1" applyBorder="1" applyAlignment="1">
      <alignment vertical="center" wrapText="1"/>
    </xf>
    <xf numFmtId="0" fontId="14"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20" fillId="0" borderId="0" xfId="0" applyFont="1" applyAlignment="1">
      <alignment horizontal="center" vertical="center" wrapText="1"/>
    </xf>
    <xf numFmtId="166" fontId="0" fillId="0" borderId="0" xfId="0" applyNumberFormat="1" applyAlignment="1">
      <alignment wrapText="1"/>
    </xf>
    <xf numFmtId="0" fontId="14" fillId="0" borderId="0" xfId="0" applyFont="1" applyAlignment="1">
      <alignment horizontal="center" vertical="center" wrapText="1"/>
    </xf>
    <xf numFmtId="0" fontId="21" fillId="0" borderId="0" xfId="0" applyFont="1" applyAlignment="1">
      <alignment horizontal="center" vertical="center" wrapText="1"/>
    </xf>
    <xf numFmtId="0" fontId="6" fillId="0" borderId="0" xfId="0" applyFont="1" applyAlignment="1">
      <alignment horizontal="center" wrapText="1"/>
    </xf>
    <xf numFmtId="2" fontId="0" fillId="0" borderId="50" xfId="0" applyNumberFormat="1" applyBorder="1" applyAlignment="1">
      <alignment horizontal="center"/>
    </xf>
    <xf numFmtId="44" fontId="0" fillId="0" borderId="50" xfId="1" applyFont="1" applyBorder="1" applyAlignment="1">
      <alignment horizontal="center"/>
    </xf>
    <xf numFmtId="44" fontId="0" fillId="0" borderId="50" xfId="1" applyFont="1" applyBorder="1"/>
    <xf numFmtId="5" fontId="0" fillId="0" borderId="6" xfId="1" applyNumberFormat="1" applyFont="1" applyBorder="1" applyAlignment="1">
      <alignment horizontal="center"/>
    </xf>
    <xf numFmtId="5" fontId="0" fillId="0" borderId="6" xfId="1" applyNumberFormat="1" applyFont="1" applyBorder="1"/>
    <xf numFmtId="44" fontId="0" fillId="0" borderId="11" xfId="1" applyFont="1" applyBorder="1" applyAlignment="1">
      <alignment horizontal="center"/>
    </xf>
    <xf numFmtId="5" fontId="0" fillId="0" borderId="14" xfId="1" applyNumberFormat="1" applyFont="1" applyBorder="1" applyAlignment="1">
      <alignment horizontal="center"/>
    </xf>
    <xf numFmtId="5" fontId="0" fillId="0" borderId="4" xfId="1" applyNumberFormat="1" applyFont="1" applyBorder="1" applyAlignment="1">
      <alignment horizontal="center"/>
    </xf>
    <xf numFmtId="2" fontId="0" fillId="0" borderId="59" xfId="0" applyNumberFormat="1" applyBorder="1" applyAlignment="1">
      <alignment horizontal="center"/>
    </xf>
    <xf numFmtId="2" fontId="0" fillId="0" borderId="41" xfId="0" applyNumberFormat="1" applyBorder="1" applyAlignment="1">
      <alignment horizontal="center"/>
    </xf>
    <xf numFmtId="2" fontId="6" fillId="2" borderId="35" xfId="0" applyNumberFormat="1" applyFont="1" applyFill="1" applyBorder="1" applyAlignment="1">
      <alignment horizontal="center"/>
    </xf>
    <xf numFmtId="44" fontId="3" fillId="5" borderId="40" xfId="1" applyFont="1" applyFill="1" applyBorder="1"/>
    <xf numFmtId="5" fontId="0" fillId="5" borderId="61" xfId="1" applyNumberFormat="1" applyFont="1" applyFill="1" applyBorder="1"/>
    <xf numFmtId="5" fontId="0" fillId="5" borderId="62" xfId="1" applyNumberFormat="1" applyFont="1" applyFill="1" applyBorder="1"/>
    <xf numFmtId="164" fontId="6" fillId="5" borderId="62" xfId="1" applyNumberFormat="1" applyFont="1" applyFill="1" applyBorder="1" applyAlignment="1">
      <alignment horizontal="center"/>
    </xf>
    <xf numFmtId="44" fontId="0" fillId="5" borderId="60" xfId="1" applyFont="1" applyFill="1" applyBorder="1"/>
    <xf numFmtId="168" fontId="0" fillId="0" borderId="2" xfId="0" applyNumberFormat="1" applyBorder="1" applyAlignment="1">
      <alignment horizontal="center"/>
    </xf>
    <xf numFmtId="0" fontId="0" fillId="0" borderId="26" xfId="0" applyBorder="1"/>
    <xf numFmtId="165" fontId="6" fillId="4" borderId="8" xfId="0" applyNumberFormat="1" applyFont="1" applyFill="1" applyBorder="1" applyAlignment="1">
      <alignment horizontal="center"/>
    </xf>
    <xf numFmtId="165" fontId="6" fillId="4" borderId="10" xfId="0" applyNumberFormat="1" applyFont="1" applyFill="1" applyBorder="1" applyAlignment="1">
      <alignment horizontal="center"/>
    </xf>
    <xf numFmtId="0" fontId="0" fillId="0" borderId="28" xfId="0" applyBorder="1" applyAlignment="1">
      <alignment horizontal="center"/>
    </xf>
    <xf numFmtId="0" fontId="0" fillId="0" borderId="32" xfId="0" applyBorder="1"/>
    <xf numFmtId="0" fontId="0" fillId="0" borderId="13" xfId="0" applyBorder="1" applyAlignment="1">
      <alignment horizontal="center"/>
    </xf>
    <xf numFmtId="44" fontId="0" fillId="5" borderId="63" xfId="1" applyFont="1" applyFill="1" applyBorder="1"/>
    <xf numFmtId="0" fontId="3" fillId="4" borderId="10" xfId="0" applyFont="1" applyFill="1" applyBorder="1" applyAlignment="1">
      <alignment horizontal="center" wrapText="1"/>
    </xf>
    <xf numFmtId="0" fontId="4" fillId="0" borderId="64" xfId="0" applyFont="1" applyBorder="1"/>
    <xf numFmtId="44" fontId="0" fillId="0" borderId="51" xfId="1" applyFont="1" applyBorder="1"/>
    <xf numFmtId="5" fontId="0" fillId="0" borderId="30" xfId="1" applyNumberFormat="1" applyFont="1" applyBorder="1"/>
    <xf numFmtId="5" fontId="0" fillId="0" borderId="28" xfId="1" applyNumberFormat="1" applyFont="1" applyBorder="1"/>
    <xf numFmtId="0" fontId="6" fillId="2" borderId="31" xfId="0" applyFont="1" applyFill="1" applyBorder="1"/>
    <xf numFmtId="2" fontId="6" fillId="2" borderId="32" xfId="0" applyNumberFormat="1" applyFont="1" applyFill="1" applyBorder="1" applyAlignment="1">
      <alignment horizontal="center"/>
    </xf>
    <xf numFmtId="164" fontId="6" fillId="2" borderId="32" xfId="0" applyNumberFormat="1" applyFont="1" applyFill="1" applyBorder="1" applyAlignment="1">
      <alignment horizontal="center"/>
    </xf>
    <xf numFmtId="164" fontId="6" fillId="2" borderId="65" xfId="0" applyNumberFormat="1" applyFont="1" applyFill="1" applyBorder="1" applyAlignment="1">
      <alignment horizontal="center"/>
    </xf>
    <xf numFmtId="164" fontId="6" fillId="5" borderId="66" xfId="1" applyNumberFormat="1" applyFont="1" applyFill="1" applyBorder="1" applyAlignment="1">
      <alignment horizontal="center"/>
    </xf>
    <xf numFmtId="164" fontId="6" fillId="2" borderId="33" xfId="1" applyNumberFormat="1" applyFont="1" applyFill="1" applyBorder="1" applyAlignment="1">
      <alignment horizontal="center"/>
    </xf>
    <xf numFmtId="2" fontId="0" fillId="4" borderId="2" xfId="0" applyNumberFormat="1" applyFill="1" applyBorder="1" applyAlignment="1">
      <alignment horizontal="center"/>
    </xf>
    <xf numFmtId="5" fontId="0" fillId="4" borderId="6" xfId="1" applyNumberFormat="1" applyFont="1" applyFill="1" applyBorder="1" applyAlignment="1">
      <alignment horizontal="center"/>
    </xf>
    <xf numFmtId="5" fontId="0" fillId="4" borderId="2" xfId="1" applyNumberFormat="1" applyFont="1" applyFill="1" applyBorder="1" applyAlignment="1">
      <alignment horizontal="center"/>
    </xf>
    <xf numFmtId="2" fontId="0" fillId="4" borderId="41" xfId="0" applyNumberFormat="1" applyFill="1" applyBorder="1" applyAlignment="1">
      <alignment horizontal="center"/>
    </xf>
    <xf numFmtId="2" fontId="0" fillId="4" borderId="35" xfId="0" applyNumberFormat="1" applyFill="1" applyBorder="1" applyAlignment="1">
      <alignment horizontal="center"/>
    </xf>
    <xf numFmtId="2" fontId="6" fillId="4" borderId="35" xfId="0" applyNumberFormat="1" applyFont="1" applyFill="1" applyBorder="1" applyAlignment="1">
      <alignment horizontal="center"/>
    </xf>
    <xf numFmtId="0" fontId="0" fillId="4" borderId="2" xfId="0" applyFill="1" applyBorder="1" applyAlignment="1">
      <alignment horizontal="center"/>
    </xf>
    <xf numFmtId="0" fontId="0" fillId="4" borderId="2" xfId="0" applyFill="1" applyBorder="1"/>
    <xf numFmtId="0" fontId="0" fillId="4" borderId="4" xfId="0" applyFill="1" applyBorder="1" applyAlignment="1">
      <alignment horizontal="center"/>
    </xf>
    <xf numFmtId="2" fontId="0" fillId="4" borderId="67" xfId="0" applyNumberFormat="1" applyFill="1" applyBorder="1" applyAlignment="1">
      <alignment horizontal="center"/>
    </xf>
    <xf numFmtId="2" fontId="0" fillId="4" borderId="52" xfId="0" applyNumberFormat="1" applyFill="1" applyBorder="1" applyAlignment="1">
      <alignment horizontal="center"/>
    </xf>
    <xf numFmtId="2" fontId="0" fillId="4" borderId="43" xfId="0" applyNumberFormat="1" applyFill="1" applyBorder="1" applyAlignment="1">
      <alignment horizontal="center"/>
    </xf>
    <xf numFmtId="0" fontId="0" fillId="4" borderId="13" xfId="0" applyFill="1" applyBorder="1" applyAlignment="1">
      <alignment horizontal="center"/>
    </xf>
    <xf numFmtId="0" fontId="6" fillId="4" borderId="42" xfId="0" applyFont="1" applyFill="1" applyBorder="1" applyAlignment="1">
      <alignment horizontal="center"/>
    </xf>
    <xf numFmtId="0" fontId="0" fillId="4" borderId="29" xfId="0" applyFill="1" applyBorder="1"/>
    <xf numFmtId="0" fontId="0" fillId="4" borderId="27" xfId="0" applyFill="1" applyBorder="1"/>
    <xf numFmtId="2" fontId="6" fillId="4" borderId="9" xfId="0" applyNumberFormat="1" applyFont="1" applyFill="1" applyBorder="1" applyAlignment="1">
      <alignment horizontal="center" wrapText="1"/>
    </xf>
    <xf numFmtId="0" fontId="6" fillId="4" borderId="9" xfId="0" applyFont="1" applyFill="1" applyBorder="1" applyAlignment="1">
      <alignment horizontal="center" wrapText="1"/>
    </xf>
    <xf numFmtId="44" fontId="1" fillId="5" borderId="60" xfId="1" applyFont="1" applyFill="1" applyBorder="1"/>
    <xf numFmtId="2" fontId="6" fillId="4" borderId="34" xfId="0" applyNumberFormat="1" applyFont="1" applyFill="1" applyBorder="1" applyAlignment="1">
      <alignment horizontal="center" wrapText="1"/>
    </xf>
    <xf numFmtId="164" fontId="0" fillId="4" borderId="2" xfId="0" applyNumberFormat="1" applyFill="1" applyBorder="1" applyAlignment="1">
      <alignment horizontal="center"/>
    </xf>
    <xf numFmtId="164" fontId="0" fillId="4" borderId="6" xfId="0" applyNumberFormat="1" applyFill="1" applyBorder="1" applyAlignment="1">
      <alignment horizontal="center"/>
    </xf>
    <xf numFmtId="5" fontId="0" fillId="0" borderId="6" xfId="1" applyNumberFormat="1" applyFont="1" applyFill="1" applyBorder="1" applyAlignment="1">
      <alignment horizontal="center"/>
    </xf>
    <xf numFmtId="5" fontId="0" fillId="0" borderId="2" xfId="1" applyNumberFormat="1" applyFont="1" applyFill="1" applyBorder="1" applyAlignment="1">
      <alignment horizontal="center"/>
    </xf>
    <xf numFmtId="0" fontId="6" fillId="0" borderId="2" xfId="0" applyFont="1" applyBorder="1"/>
    <xf numFmtId="2" fontId="0" fillId="4" borderId="68" xfId="0" applyNumberFormat="1" applyFill="1" applyBorder="1" applyAlignment="1">
      <alignment horizontal="center"/>
    </xf>
    <xf numFmtId="10" fontId="0" fillId="0" borderId="2" xfId="0" applyNumberFormat="1" applyBorder="1" applyAlignment="1">
      <alignment horizontal="center"/>
    </xf>
    <xf numFmtId="0" fontId="10" fillId="4" borderId="4" xfId="0" applyFont="1" applyFill="1" applyBorder="1" applyAlignment="1">
      <alignment horizontal="center"/>
    </xf>
    <xf numFmtId="0" fontId="10" fillId="4" borderId="3" xfId="0" applyFont="1" applyFill="1" applyBorder="1" applyAlignment="1">
      <alignment horizontal="center" wrapText="1"/>
    </xf>
    <xf numFmtId="0" fontId="10" fillId="4" borderId="5" xfId="0" applyFont="1" applyFill="1" applyBorder="1" applyAlignment="1">
      <alignment horizontal="center" wrapText="1"/>
    </xf>
    <xf numFmtId="0" fontId="5" fillId="4" borderId="3" xfId="0" applyFont="1" applyFill="1" applyBorder="1" applyAlignment="1">
      <alignment horizontal="center" wrapText="1"/>
    </xf>
    <xf numFmtId="0" fontId="10" fillId="4" borderId="4" xfId="0" applyFont="1" applyFill="1" applyBorder="1" applyAlignment="1">
      <alignment wrapText="1"/>
    </xf>
    <xf numFmtId="3" fontId="10" fillId="4" borderId="3" xfId="0" applyNumberFormat="1" applyFont="1" applyFill="1" applyBorder="1" applyAlignment="1">
      <alignment horizontal="center" wrapText="1"/>
    </xf>
    <xf numFmtId="164" fontId="10" fillId="4" borderId="3" xfId="0" applyNumberFormat="1" applyFont="1" applyFill="1" applyBorder="1" applyAlignment="1">
      <alignment horizontal="center" wrapText="1"/>
    </xf>
    <xf numFmtId="3" fontId="10" fillId="4" borderId="5" xfId="0" applyNumberFormat="1" applyFont="1" applyFill="1" applyBorder="1" applyAlignment="1">
      <alignment horizontal="center" wrapText="1"/>
    </xf>
    <xf numFmtId="5" fontId="10" fillId="4" borderId="3" xfId="1" applyNumberFormat="1" applyFont="1" applyFill="1" applyBorder="1" applyAlignment="1">
      <alignment wrapText="1"/>
    </xf>
    <xf numFmtId="5" fontId="10" fillId="4" borderId="3" xfId="1" applyNumberFormat="1" applyFont="1" applyFill="1" applyBorder="1" applyAlignment="1">
      <alignment horizontal="center" wrapText="1"/>
    </xf>
    <xf numFmtId="0" fontId="1" fillId="4" borderId="22" xfId="0" applyFont="1" applyFill="1" applyBorder="1" applyAlignment="1">
      <alignment wrapText="1"/>
    </xf>
    <xf numFmtId="3" fontId="10" fillId="4" borderId="3" xfId="1" applyNumberFormat="1" applyFont="1" applyFill="1" applyBorder="1" applyAlignment="1">
      <alignment horizontal="center" wrapText="1"/>
    </xf>
    <xf numFmtId="164" fontId="10" fillId="4" borderId="3" xfId="1" applyNumberFormat="1" applyFont="1" applyFill="1" applyBorder="1" applyAlignment="1">
      <alignment horizontal="center" wrapText="1"/>
    </xf>
    <xf numFmtId="3" fontId="10" fillId="4" borderId="19" xfId="1" applyNumberFormat="1" applyFont="1" applyFill="1" applyBorder="1" applyAlignment="1">
      <alignment horizontal="center" wrapText="1"/>
    </xf>
    <xf numFmtId="44" fontId="1" fillId="4" borderId="3" xfId="0" applyNumberFormat="1" applyFont="1" applyFill="1" applyBorder="1" applyAlignment="1">
      <alignment wrapText="1"/>
    </xf>
    <xf numFmtId="5" fontId="10" fillId="4" borderId="5" xfId="1" applyNumberFormat="1" applyFont="1" applyFill="1" applyBorder="1" applyAlignment="1">
      <alignment wrapText="1"/>
    </xf>
    <xf numFmtId="0" fontId="22" fillId="5" borderId="16" xfId="0" applyFont="1" applyFill="1" applyBorder="1" applyAlignment="1">
      <alignment horizontal="left"/>
    </xf>
    <xf numFmtId="3" fontId="22" fillId="5" borderId="7" xfId="1" applyNumberFormat="1" applyFont="1" applyFill="1" applyBorder="1" applyAlignment="1">
      <alignment horizontal="center"/>
    </xf>
    <xf numFmtId="164" fontId="22" fillId="5" borderId="7" xfId="1" applyNumberFormat="1" applyFont="1" applyFill="1" applyBorder="1" applyAlignment="1">
      <alignment horizontal="center"/>
    </xf>
    <xf numFmtId="5" fontId="22" fillId="5" borderId="17" xfId="1" applyNumberFormat="1" applyFont="1" applyFill="1" applyBorder="1"/>
    <xf numFmtId="5" fontId="22" fillId="5" borderId="7" xfId="1" applyNumberFormat="1" applyFont="1" applyFill="1" applyBorder="1" applyAlignment="1">
      <alignment horizontal="center"/>
    </xf>
    <xf numFmtId="166" fontId="0" fillId="4" borderId="2" xfId="0" applyNumberFormat="1" applyFill="1" applyBorder="1" applyAlignment="1">
      <alignment horizontal="center" wrapText="1"/>
    </xf>
    <xf numFmtId="5" fontId="6" fillId="0" borderId="2" xfId="1" applyNumberFormat="1" applyFont="1" applyBorder="1" applyAlignment="1">
      <alignment horizontal="center"/>
    </xf>
    <xf numFmtId="169" fontId="0" fillId="0" borderId="0" xfId="0" applyNumberFormat="1"/>
    <xf numFmtId="0" fontId="6" fillId="4" borderId="12" xfId="0" applyFont="1" applyFill="1" applyBorder="1" applyAlignment="1">
      <alignment horizontal="center"/>
    </xf>
    <xf numFmtId="0" fontId="6" fillId="2" borderId="4" xfId="0" applyFont="1" applyFill="1" applyBorder="1"/>
    <xf numFmtId="2" fontId="6" fillId="0" borderId="6" xfId="0" applyNumberFormat="1" applyFont="1" applyBorder="1" applyAlignment="1">
      <alignment horizontal="center"/>
    </xf>
    <xf numFmtId="44" fontId="6" fillId="0" borderId="6" xfId="1" applyFont="1" applyBorder="1" applyAlignment="1">
      <alignment horizontal="center"/>
    </xf>
    <xf numFmtId="2" fontId="0" fillId="4" borderId="71" xfId="0" applyNumberFormat="1" applyFill="1" applyBorder="1" applyAlignment="1">
      <alignment horizontal="center"/>
    </xf>
    <xf numFmtId="5" fontId="0" fillId="4" borderId="30" xfId="1" applyNumberFormat="1" applyFont="1" applyFill="1" applyBorder="1" applyAlignment="1">
      <alignment horizontal="center"/>
    </xf>
    <xf numFmtId="2" fontId="0" fillId="4" borderId="72" xfId="0" applyNumberFormat="1" applyFill="1" applyBorder="1" applyAlignment="1">
      <alignment horizontal="center"/>
    </xf>
    <xf numFmtId="5" fontId="0" fillId="4" borderId="28" xfId="1" applyNumberFormat="1" applyFont="1" applyFill="1" applyBorder="1" applyAlignment="1">
      <alignment horizontal="center"/>
    </xf>
    <xf numFmtId="2" fontId="6" fillId="4" borderId="73" xfId="0" applyNumberFormat="1" applyFont="1" applyFill="1" applyBorder="1" applyAlignment="1">
      <alignment horizontal="center"/>
    </xf>
    <xf numFmtId="2" fontId="6" fillId="2" borderId="48" xfId="0" applyNumberFormat="1" applyFont="1" applyFill="1" applyBorder="1" applyAlignment="1">
      <alignment horizontal="center"/>
    </xf>
    <xf numFmtId="164" fontId="6" fillId="4" borderId="49" xfId="0" applyNumberFormat="1" applyFont="1" applyFill="1" applyBorder="1" applyAlignment="1">
      <alignment horizontal="center"/>
    </xf>
    <xf numFmtId="5" fontId="0" fillId="0" borderId="41" xfId="1" applyNumberFormat="1" applyFont="1" applyBorder="1"/>
    <xf numFmtId="5" fontId="0" fillId="0" borderId="35" xfId="1" applyNumberFormat="1" applyFont="1" applyBorder="1"/>
    <xf numFmtId="0" fontId="6" fillId="4" borderId="38" xfId="0" applyFont="1" applyFill="1" applyBorder="1" applyAlignment="1">
      <alignment horizontal="center"/>
    </xf>
    <xf numFmtId="0" fontId="0" fillId="0" borderId="41" xfId="0" applyBorder="1"/>
    <xf numFmtId="2" fontId="0" fillId="4" borderId="36" xfId="0" applyNumberFormat="1" applyFill="1" applyBorder="1" applyAlignment="1">
      <alignment horizontal="center"/>
    </xf>
    <xf numFmtId="2" fontId="0" fillId="0" borderId="20" xfId="0" applyNumberFormat="1" applyBorder="1" applyAlignment="1">
      <alignment horizontal="center"/>
    </xf>
    <xf numFmtId="5" fontId="0" fillId="4" borderId="37" xfId="1" applyNumberFormat="1" applyFont="1" applyFill="1" applyBorder="1" applyAlignment="1">
      <alignment horizontal="center"/>
    </xf>
    <xf numFmtId="2" fontId="0" fillId="4" borderId="27" xfId="0" applyNumberFormat="1" applyFill="1" applyBorder="1" applyAlignment="1">
      <alignment horizontal="center"/>
    </xf>
    <xf numFmtId="2" fontId="6" fillId="4" borderId="27" xfId="0" applyNumberFormat="1" applyFont="1" applyFill="1" applyBorder="1" applyAlignment="1">
      <alignment horizontal="center"/>
    </xf>
    <xf numFmtId="5" fontId="6" fillId="4" borderId="28" xfId="1" applyNumberFormat="1" applyFont="1" applyFill="1" applyBorder="1" applyAlignment="1">
      <alignment horizontal="center"/>
    </xf>
    <xf numFmtId="2" fontId="0" fillId="4" borderId="29" xfId="0" applyNumberFormat="1" applyFill="1" applyBorder="1" applyAlignment="1">
      <alignment horizontal="center"/>
    </xf>
    <xf numFmtId="9" fontId="0" fillId="0" borderId="52" xfId="35" applyFont="1" applyBorder="1" applyAlignment="1">
      <alignment horizontal="center"/>
    </xf>
    <xf numFmtId="0" fontId="0" fillId="7" borderId="6" xfId="0" applyFill="1" applyBorder="1" applyAlignment="1">
      <alignment horizontal="center"/>
    </xf>
    <xf numFmtId="0" fontId="6" fillId="7" borderId="6" xfId="0" applyFont="1" applyFill="1" applyBorder="1" applyAlignment="1">
      <alignment horizontal="center"/>
    </xf>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2" fontId="0" fillId="0" borderId="76" xfId="0" applyNumberFormat="1" applyBorder="1"/>
    <xf numFmtId="5" fontId="0" fillId="0" borderId="78" xfId="1" applyNumberFormat="1" applyFont="1" applyBorder="1"/>
    <xf numFmtId="2" fontId="0" fillId="0" borderId="0" xfId="0" applyNumberFormat="1"/>
    <xf numFmtId="0" fontId="0" fillId="0" borderId="79" xfId="0" applyBorder="1"/>
    <xf numFmtId="2" fontId="6" fillId="0" borderId="0" xfId="0" applyNumberFormat="1" applyFont="1"/>
    <xf numFmtId="0" fontId="0" fillId="0" borderId="80" xfId="0" applyBorder="1"/>
    <xf numFmtId="0" fontId="0" fillId="0" borderId="81" xfId="0" applyBorder="1"/>
    <xf numFmtId="2" fontId="0" fillId="0" borderId="80" xfId="0" applyNumberFormat="1" applyBorder="1"/>
    <xf numFmtId="9" fontId="0" fillId="0" borderId="2" xfId="36" applyFont="1" applyBorder="1"/>
    <xf numFmtId="9" fontId="0" fillId="0" borderId="2" xfId="0" applyNumberFormat="1" applyBorder="1"/>
    <xf numFmtId="9" fontId="0" fillId="0" borderId="6" xfId="0" applyNumberFormat="1" applyBorder="1"/>
    <xf numFmtId="9" fontId="0" fillId="0" borderId="4" xfId="0" applyNumberFormat="1" applyBorder="1"/>
    <xf numFmtId="0" fontId="6" fillId="4" borderId="12" xfId="0" applyFont="1" applyFill="1" applyBorder="1" applyAlignment="1">
      <alignment horizontal="left"/>
    </xf>
    <xf numFmtId="0" fontId="0" fillId="0" borderId="59" xfId="0" applyBorder="1" applyAlignment="1">
      <alignment horizontal="center"/>
    </xf>
    <xf numFmtId="165" fontId="23" fillId="8" borderId="9" xfId="0" applyNumberFormat="1" applyFont="1" applyFill="1" applyBorder="1" applyAlignment="1">
      <alignment horizontal="center"/>
    </xf>
    <xf numFmtId="14" fontId="23" fillId="8" borderId="38" xfId="0" applyNumberFormat="1" applyFont="1" applyFill="1" applyBorder="1" applyAlignment="1">
      <alignment horizontal="center"/>
    </xf>
    <xf numFmtId="0" fontId="0" fillId="0" borderId="0" xfId="0" applyAlignment="1">
      <alignment horizontal="left"/>
    </xf>
    <xf numFmtId="0" fontId="15" fillId="5" borderId="9" xfId="0" applyFont="1" applyFill="1" applyBorder="1" applyAlignment="1">
      <alignment horizontal="left"/>
    </xf>
    <xf numFmtId="0" fontId="0" fillId="0" borderId="6" xfId="0" applyBorder="1" applyAlignment="1">
      <alignment horizontal="left"/>
    </xf>
    <xf numFmtId="0" fontId="0" fillId="0" borderId="2" xfId="0" applyBorder="1" applyAlignment="1">
      <alignment horizontal="left"/>
    </xf>
    <xf numFmtId="6" fontId="0" fillId="0" borderId="2" xfId="0" applyNumberFormat="1" applyBorder="1" applyAlignment="1">
      <alignment horizontal="left"/>
    </xf>
    <xf numFmtId="0" fontId="15" fillId="7" borderId="35" xfId="0" applyFont="1" applyFill="1" applyBorder="1" applyAlignment="1">
      <alignment horizontal="center"/>
    </xf>
    <xf numFmtId="0" fontId="15" fillId="7" borderId="2" xfId="0" applyFont="1" applyFill="1" applyBorder="1" applyAlignment="1">
      <alignment horizontal="center"/>
    </xf>
    <xf numFmtId="0" fontId="15" fillId="7" borderId="2" xfId="0" applyFont="1" applyFill="1" applyBorder="1" applyAlignment="1">
      <alignment horizontal="right"/>
    </xf>
    <xf numFmtId="0" fontId="15" fillId="7" borderId="6" xfId="0" applyFont="1" applyFill="1" applyBorder="1" applyAlignment="1">
      <alignment horizontal="center"/>
    </xf>
    <xf numFmtId="0" fontId="6" fillId="4" borderId="2" xfId="0" applyFont="1" applyFill="1" applyBorder="1" applyAlignment="1">
      <alignment horizontal="center"/>
    </xf>
    <xf numFmtId="0" fontId="0" fillId="0" borderId="46" xfId="0" applyBorder="1" applyAlignment="1">
      <alignment horizontal="center"/>
    </xf>
    <xf numFmtId="0" fontId="0" fillId="0" borderId="50" xfId="0" applyBorder="1" applyAlignment="1">
      <alignment horizontal="center"/>
    </xf>
    <xf numFmtId="170" fontId="0" fillId="0" borderId="0" xfId="0" applyNumberFormat="1"/>
    <xf numFmtId="0" fontId="0" fillId="0" borderId="0" xfId="0" applyAlignment="1">
      <alignment horizontal="right"/>
    </xf>
    <xf numFmtId="171" fontId="0" fillId="0" borderId="0" xfId="1" applyNumberFormat="1" applyFont="1"/>
    <xf numFmtId="171" fontId="0" fillId="0" borderId="15" xfId="1" applyNumberFormat="1" applyFont="1" applyBorder="1"/>
    <xf numFmtId="172" fontId="0" fillId="0" borderId="0" xfId="0" applyNumberFormat="1"/>
    <xf numFmtId="0" fontId="15" fillId="5" borderId="23" xfId="0" applyFont="1" applyFill="1" applyBorder="1" applyAlignment="1">
      <alignment horizontal="center"/>
    </xf>
    <xf numFmtId="0" fontId="17" fillId="5" borderId="57" xfId="0" applyFont="1" applyFill="1" applyBorder="1" applyAlignment="1">
      <alignment horizontal="center"/>
    </xf>
    <xf numFmtId="0" fontId="0" fillId="0" borderId="0" xfId="0" applyAlignment="1">
      <alignment horizontal="left"/>
    </xf>
    <xf numFmtId="0" fontId="2" fillId="4" borderId="16" xfId="2" applyFill="1" applyBorder="1" applyAlignment="1">
      <alignment horizontal="center"/>
    </xf>
    <xf numFmtId="0" fontId="2" fillId="4" borderId="17" xfId="2" applyFill="1" applyBorder="1" applyAlignment="1">
      <alignment horizontal="center"/>
    </xf>
    <xf numFmtId="1" fontId="0" fillId="4" borderId="16" xfId="0" applyNumberFormat="1" applyFill="1" applyBorder="1" applyAlignment="1">
      <alignment horizontal="left" wrapText="1"/>
    </xf>
    <xf numFmtId="0" fontId="0" fillId="4" borderId="17" xfId="0" applyFill="1" applyBorder="1" applyAlignment="1">
      <alignment horizontal="left" wrapText="1"/>
    </xf>
    <xf numFmtId="0" fontId="0" fillId="4" borderId="18" xfId="0" applyFill="1" applyBorder="1" applyAlignment="1">
      <alignment horizontal="left" wrapText="1"/>
    </xf>
    <xf numFmtId="1" fontId="0" fillId="2" borderId="16" xfId="0" applyNumberFormat="1" applyFill="1"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15" fillId="5" borderId="11" xfId="2" applyFont="1" applyFill="1" applyBorder="1" applyAlignment="1">
      <alignment horizontal="center"/>
    </xf>
    <xf numFmtId="0" fontId="15" fillId="5" borderId="0" xfId="2" applyFont="1" applyFill="1" applyBorder="1" applyAlignment="1">
      <alignment horizontal="center"/>
    </xf>
    <xf numFmtId="0" fontId="6" fillId="4" borderId="12" xfId="0" applyFont="1" applyFill="1" applyBorder="1" applyAlignment="1">
      <alignment horizontal="center"/>
    </xf>
    <xf numFmtId="0" fontId="0" fillId="0" borderId="13" xfId="0" applyBorder="1" applyAlignment="1">
      <alignment horizontal="center"/>
    </xf>
    <xf numFmtId="0" fontId="6" fillId="4" borderId="13" xfId="0" applyFont="1" applyFill="1" applyBorder="1" applyAlignment="1">
      <alignment horizontal="center"/>
    </xf>
    <xf numFmtId="0" fontId="0" fillId="0" borderId="38" xfId="0" applyBorder="1" applyAlignment="1">
      <alignment horizontal="center"/>
    </xf>
    <xf numFmtId="0" fontId="6" fillId="4" borderId="70" xfId="0" applyFont="1" applyFill="1" applyBorder="1" applyAlignment="1">
      <alignment horizontal="center"/>
    </xf>
    <xf numFmtId="2" fontId="0" fillId="0" borderId="19" xfId="0" applyNumberFormat="1" applyBorder="1" applyAlignment="1">
      <alignment horizontal="center"/>
    </xf>
    <xf numFmtId="0" fontId="0" fillId="0" borderId="5" xfId="0" applyBorder="1" applyAlignment="1">
      <alignment horizontal="center"/>
    </xf>
    <xf numFmtId="0" fontId="0" fillId="0" borderId="69" xfId="0" applyBorder="1" applyAlignment="1">
      <alignment horizontal="center"/>
    </xf>
    <xf numFmtId="0" fontId="6" fillId="4" borderId="6" xfId="0" applyFont="1" applyFill="1" applyBorder="1" applyAlignment="1">
      <alignment horizontal="center"/>
    </xf>
    <xf numFmtId="0" fontId="17" fillId="5" borderId="16" xfId="2" applyFont="1" applyFill="1" applyBorder="1" applyAlignment="1">
      <alignment horizontal="center"/>
    </xf>
    <xf numFmtId="0" fontId="16" fillId="5" borderId="17" xfId="0" applyFont="1" applyFill="1" applyBorder="1" applyAlignment="1">
      <alignment horizontal="center"/>
    </xf>
    <xf numFmtId="0" fontId="15" fillId="5" borderId="8" xfId="0" applyFont="1" applyFill="1" applyBorder="1" applyAlignment="1">
      <alignment horizontal="center"/>
    </xf>
    <xf numFmtId="0" fontId="15" fillId="5" borderId="34" xfId="0" applyFont="1" applyFill="1" applyBorder="1" applyAlignment="1">
      <alignment horizontal="center"/>
    </xf>
    <xf numFmtId="0" fontId="15" fillId="5" borderId="9" xfId="0" applyFont="1" applyFill="1" applyBorder="1" applyAlignment="1">
      <alignment horizontal="center"/>
    </xf>
    <xf numFmtId="0" fontId="15" fillId="5" borderId="10" xfId="0" applyFont="1" applyFill="1" applyBorder="1" applyAlignment="1">
      <alignment horizontal="center"/>
    </xf>
    <xf numFmtId="0" fontId="15" fillId="5" borderId="42" xfId="0" applyFont="1" applyFill="1" applyBorder="1" applyAlignment="1">
      <alignment horizontal="center"/>
    </xf>
    <xf numFmtId="0" fontId="0" fillId="0" borderId="24" xfId="0" applyBorder="1" applyAlignment="1"/>
    <xf numFmtId="0" fontId="0" fillId="0" borderId="25" xfId="0" applyBorder="1" applyAlignment="1"/>
    <xf numFmtId="0" fontId="0" fillId="4" borderId="17" xfId="0" applyFill="1" applyBorder="1" applyAlignment="1"/>
    <xf numFmtId="0" fontId="0" fillId="4" borderId="18" xfId="0" applyFill="1" applyBorder="1" applyAlignment="1"/>
    <xf numFmtId="0" fontId="0" fillId="0" borderId="0" xfId="0" applyAlignment="1"/>
    <xf numFmtId="0" fontId="0" fillId="0" borderId="55" xfId="0" applyBorder="1" applyAlignment="1"/>
    <xf numFmtId="0" fontId="16" fillId="5" borderId="0" xfId="0" applyFont="1" applyFill="1" applyAlignment="1"/>
    <xf numFmtId="0" fontId="0" fillId="0" borderId="9" xfId="0" applyBorder="1" applyAlignment="1"/>
  </cellXfs>
  <cellStyles count="37">
    <cellStyle name="Currency" xfId="1" builtinId="4"/>
    <cellStyle name="Followed Hyperlink" xfId="8" builtinId="9" hidden="1"/>
    <cellStyle name="Followed Hyperlink" xfId="26" builtinId="9" hidden="1"/>
    <cellStyle name="Followed Hyperlink" xfId="12" builtinId="9" hidden="1"/>
    <cellStyle name="Followed Hyperlink" xfId="6" builtinId="9" hidden="1"/>
    <cellStyle name="Followed Hyperlink" xfId="34" builtinId="9" hidden="1"/>
    <cellStyle name="Followed Hyperlink" xfId="20" builtinId="9" hidden="1"/>
    <cellStyle name="Followed Hyperlink" xfId="10" builtinId="9" hidden="1"/>
    <cellStyle name="Followed Hyperlink" xfId="22" builtinId="9" hidden="1"/>
    <cellStyle name="Followed Hyperlink" xfId="24" builtinId="9" hidden="1"/>
    <cellStyle name="Followed Hyperlink" xfId="14" builtinId="9" hidden="1"/>
    <cellStyle name="Followed Hyperlink" xfId="18" builtinId="9" hidden="1"/>
    <cellStyle name="Followed Hyperlink" xfId="30" builtinId="9" hidden="1"/>
    <cellStyle name="Followed Hyperlink" xfId="16" builtinId="9" hidden="1"/>
    <cellStyle name="Followed Hyperlink" xfId="32" builtinId="9" hidden="1"/>
    <cellStyle name="Followed Hyperlink" xfId="4" builtinId="9" hidden="1"/>
    <cellStyle name="Followed Hyperlink" xfId="28" builtinId="9" hidden="1"/>
    <cellStyle name="Heading 1" xfId="2" builtinId="16"/>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29" builtinId="8" hidden="1"/>
    <cellStyle name="Hyperlink" xfId="21" builtinId="8" hidden="1"/>
    <cellStyle name="Hyperlink" xfId="23" builtinId="8" hidden="1"/>
    <cellStyle name="Hyperlink" xfId="25" builtinId="8" hidden="1"/>
    <cellStyle name="Hyperlink" xfId="27" builtinId="8" hidden="1"/>
    <cellStyle name="Hyperlink" xfId="19" builtinId="8" hidden="1"/>
    <cellStyle name="Hyperlink" xfId="31" builtinId="8" hidden="1"/>
    <cellStyle name="Hyperlink" xfId="33" builtinId="8" hidden="1"/>
    <cellStyle name="Normal" xfId="0" builtinId="0"/>
    <cellStyle name="Percent" xfId="35" builtinId="5"/>
    <cellStyle name="Percent 2" xfId="36" xr:uid="{E4500293-7721-4715-87BF-EC64ED637596}"/>
  </cellStyles>
  <dxfs count="2">
    <dxf>
      <font>
        <color rgb="FF006100"/>
      </font>
      <fill>
        <patternFill>
          <bgColor rgb="FFC6EFCE"/>
        </patternFill>
      </fill>
    </dxf>
    <dxf>
      <fill>
        <patternFill>
          <bgColor rgb="FFFF7C80"/>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anAm/Prospects/CA/City%20of%20San%20Mateo/Responses/Pricing/San%20Mateo%20RFP%20Investment%20Analysis-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Input"/>
      <sheetName val="Notes for Approver"/>
      <sheetName val="Assumptions"/>
      <sheetName val="Existing Vendors"/>
      <sheetName val="Variables"/>
      <sheetName val="Final Analysis"/>
      <sheetName val="Travel"/>
      <sheetName val="Service Breakdown"/>
      <sheetName val="SaaS Breakdown"/>
      <sheetName val="Equipment Breakdown"/>
      <sheetName val="Equipment Breakdown-Opt"/>
      <sheetName val="Optional (in progres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32CB-DADC-44EB-8C95-D50180ECA1BC}">
  <sheetPr codeName="Sheet1"/>
  <dimension ref="A1:L91"/>
  <sheetViews>
    <sheetView topLeftCell="A7" workbookViewId="0">
      <selection activeCell="E14" sqref="E14"/>
    </sheetView>
  </sheetViews>
  <sheetFormatPr defaultColWidth="8.7109375" defaultRowHeight="14.45"/>
  <cols>
    <col min="1" max="1" width="35.7109375" customWidth="1"/>
    <col min="2" max="2" width="9.140625" style="7" customWidth="1"/>
    <col min="3" max="3" width="10.140625" style="7" customWidth="1"/>
    <col min="4" max="4" width="11.140625" style="7" customWidth="1"/>
    <col min="5" max="6" width="13.42578125" style="7" customWidth="1"/>
    <col min="7" max="7" width="30.28515625" style="7" customWidth="1"/>
    <col min="8" max="8" width="37.7109375" style="316" customWidth="1"/>
    <col min="9" max="9" width="6.42578125" style="7" customWidth="1"/>
    <col min="10" max="10" width="13.140625" customWidth="1"/>
    <col min="12" max="12" width="13.28515625" customWidth="1"/>
  </cols>
  <sheetData>
    <row r="1" spans="1:12" ht="15" thickTop="1" thickBot="1">
      <c r="A1" s="80" t="s">
        <v>0</v>
      </c>
      <c r="B1" s="81"/>
      <c r="C1" s="81"/>
      <c r="D1" s="81"/>
      <c r="E1" s="81"/>
      <c r="F1" s="81"/>
      <c r="G1" s="82" t="s">
        <v>1</v>
      </c>
      <c r="H1" s="317" t="s">
        <v>2</v>
      </c>
      <c r="I1" s="225"/>
      <c r="J1" s="81" t="s">
        <v>3</v>
      </c>
      <c r="K1" s="314">
        <v>11</v>
      </c>
      <c r="L1" s="315">
        <v>45588</v>
      </c>
    </row>
    <row r="2" spans="1:12" ht="15" thickTop="1" thickBot="1">
      <c r="A2" s="124" t="s">
        <v>4</v>
      </c>
      <c r="B2" s="128"/>
      <c r="C2" s="58"/>
      <c r="D2" s="58"/>
      <c r="E2" s="58"/>
      <c r="F2" s="58"/>
      <c r="G2" s="58"/>
      <c r="H2" s="318"/>
      <c r="I2" s="225"/>
    </row>
    <row r="3" spans="1:12" ht="15" customHeight="1" thickTop="1" thickBot="1">
      <c r="A3" s="17" t="s">
        <v>5</v>
      </c>
      <c r="B3" s="85"/>
      <c r="C3" s="85" t="s">
        <v>6</v>
      </c>
      <c r="D3" s="85" t="s">
        <v>6</v>
      </c>
      <c r="E3" s="86"/>
      <c r="F3" s="86"/>
      <c r="G3" s="39" t="s">
        <v>7</v>
      </c>
      <c r="H3" s="319"/>
      <c r="I3" s="225"/>
    </row>
    <row r="4" spans="1:12" ht="15" customHeight="1" thickTop="1">
      <c r="A4" s="8" t="s">
        <v>8</v>
      </c>
      <c r="B4" s="59" t="s">
        <v>9</v>
      </c>
      <c r="C4" s="85" t="s">
        <v>6</v>
      </c>
      <c r="D4" s="85" t="s">
        <v>6</v>
      </c>
      <c r="E4" s="86"/>
      <c r="F4" s="86"/>
      <c r="G4" s="39"/>
      <c r="H4" s="319"/>
      <c r="I4" s="227"/>
      <c r="J4" s="333" t="s">
        <v>10</v>
      </c>
      <c r="K4" s="362"/>
      <c r="L4" s="363"/>
    </row>
    <row r="5" spans="1:12" ht="15" customHeight="1" thickBot="1">
      <c r="A5" s="8" t="s">
        <v>11</v>
      </c>
      <c r="B5" s="59" t="s">
        <v>12</v>
      </c>
      <c r="C5" s="85"/>
      <c r="D5" s="85"/>
      <c r="E5" s="86"/>
      <c r="F5" s="86"/>
      <c r="G5" s="39"/>
      <c r="H5" s="319"/>
      <c r="I5" s="227"/>
      <c r="J5" s="76"/>
      <c r="L5" s="201"/>
    </row>
    <row r="6" spans="1:12" ht="15" customHeight="1" thickTop="1" thickBot="1">
      <c r="A6" s="8" t="s">
        <v>13</v>
      </c>
      <c r="B6" s="59">
        <v>1</v>
      </c>
      <c r="C6" s="85" t="s">
        <v>6</v>
      </c>
      <c r="D6" s="85" t="s">
        <v>6</v>
      </c>
      <c r="E6" s="86"/>
      <c r="F6" s="86"/>
      <c r="G6" s="39"/>
      <c r="H6" s="319"/>
      <c r="I6" s="227"/>
      <c r="J6" s="202" t="s">
        <v>14</v>
      </c>
      <c r="K6" s="84" t="s">
        <v>15</v>
      </c>
      <c r="L6" s="203" t="s">
        <v>16</v>
      </c>
    </row>
    <row r="7" spans="1:12" ht="15" customHeight="1" thickTop="1">
      <c r="A7" s="8" t="s">
        <v>17</v>
      </c>
      <c r="B7" s="59">
        <v>2</v>
      </c>
      <c r="C7" s="85" t="s">
        <v>6</v>
      </c>
      <c r="D7" s="85" t="s">
        <v>6</v>
      </c>
      <c r="E7" s="86"/>
      <c r="F7" s="86"/>
      <c r="G7" s="39"/>
      <c r="H7" s="319"/>
      <c r="I7" s="227"/>
      <c r="J7" s="76"/>
      <c r="L7" s="201"/>
    </row>
    <row r="8" spans="1:12" ht="15" customHeight="1">
      <c r="A8" s="8" t="s">
        <v>18</v>
      </c>
      <c r="B8" s="59">
        <v>9</v>
      </c>
      <c r="C8" s="85"/>
      <c r="D8" s="85"/>
      <c r="E8" s="86"/>
      <c r="F8" s="86"/>
      <c r="G8" s="39"/>
      <c r="H8" s="319"/>
      <c r="I8" s="227"/>
      <c r="J8" s="32" t="s">
        <v>19</v>
      </c>
      <c r="K8" s="225">
        <f>IF(K10&lt;20,1,IF(K10&lt;35, 2,3))</f>
        <v>1</v>
      </c>
      <c r="L8" s="204">
        <f>K8</f>
        <v>1</v>
      </c>
    </row>
    <row r="9" spans="1:12" ht="15" customHeight="1">
      <c r="A9" s="8" t="s">
        <v>20</v>
      </c>
      <c r="B9" s="59">
        <v>2</v>
      </c>
      <c r="C9" s="85"/>
      <c r="D9" s="85"/>
      <c r="E9" s="86"/>
      <c r="F9" s="86"/>
      <c r="G9" s="39" t="s">
        <v>6</v>
      </c>
      <c r="H9" s="319"/>
      <c r="I9" s="227"/>
      <c r="J9" s="32" t="s">
        <v>21</v>
      </c>
      <c r="K9" s="226"/>
      <c r="L9" s="33"/>
    </row>
    <row r="10" spans="1:12" ht="15" customHeight="1">
      <c r="A10" s="8" t="s">
        <v>22</v>
      </c>
      <c r="B10" s="59" t="s">
        <v>12</v>
      </c>
      <c r="C10" s="85"/>
      <c r="D10" s="85"/>
      <c r="E10" s="86"/>
      <c r="F10" s="86"/>
      <c r="G10" s="39"/>
      <c r="H10" s="319"/>
      <c r="I10" s="227"/>
      <c r="J10" s="32" t="s">
        <v>23</v>
      </c>
      <c r="K10" s="225">
        <f>SUM(K12:K23)</f>
        <v>17</v>
      </c>
      <c r="L10" s="33"/>
    </row>
    <row r="11" spans="1:12" ht="14.65" thickBot="1">
      <c r="A11" s="8"/>
      <c r="B11" s="59"/>
      <c r="C11" s="59"/>
      <c r="D11" s="59"/>
      <c r="E11" s="39"/>
      <c r="F11" s="39"/>
      <c r="G11" s="39"/>
      <c r="H11" s="319"/>
      <c r="I11" s="227"/>
      <c r="J11" s="32"/>
      <c r="K11" s="226"/>
      <c r="L11" s="33"/>
    </row>
    <row r="12" spans="1:12" ht="15" customHeight="1" thickTop="1" thickBot="1">
      <c r="A12" s="124" t="s">
        <v>24</v>
      </c>
      <c r="B12" s="322" t="s">
        <v>25</v>
      </c>
      <c r="C12" s="322" t="s">
        <v>26</v>
      </c>
      <c r="D12" s="322"/>
      <c r="E12" s="322" t="s">
        <v>27</v>
      </c>
      <c r="F12" s="293"/>
      <c r="G12" s="58"/>
      <c r="H12" s="318"/>
      <c r="I12" s="227"/>
      <c r="J12" s="32" t="s">
        <v>28</v>
      </c>
      <c r="K12" s="225">
        <f>SUM(B6+5)</f>
        <v>6</v>
      </c>
      <c r="L12" s="204"/>
    </row>
    <row r="13" spans="1:12" ht="15" customHeight="1" thickTop="1">
      <c r="A13" s="8" t="s">
        <v>29</v>
      </c>
      <c r="B13" s="59" t="s">
        <v>30</v>
      </c>
      <c r="C13" s="85" t="s">
        <v>6</v>
      </c>
      <c r="D13" s="323" t="s">
        <v>31</v>
      </c>
      <c r="E13" s="16">
        <v>75000</v>
      </c>
      <c r="F13" s="16"/>
      <c r="G13" s="16" t="s">
        <v>6</v>
      </c>
      <c r="H13" s="319"/>
      <c r="I13" s="227"/>
      <c r="J13" s="32" t="s">
        <v>32</v>
      </c>
      <c r="K13" s="225">
        <f>IF(B15="Y", 1, 0)</f>
        <v>1</v>
      </c>
      <c r="L13" s="204"/>
    </row>
    <row r="14" spans="1:12" ht="15.6" customHeight="1">
      <c r="A14" s="8" t="s">
        <v>33</v>
      </c>
      <c r="B14" s="59" t="s">
        <v>12</v>
      </c>
      <c r="C14" s="85" t="s">
        <v>6</v>
      </c>
      <c r="D14" s="85"/>
      <c r="E14" s="85"/>
      <c r="F14" s="85"/>
      <c r="H14" s="319" t="s">
        <v>34</v>
      </c>
      <c r="I14" s="227" t="str">
        <f>B15&amp;C15</f>
        <v>YY</v>
      </c>
      <c r="J14" s="32"/>
      <c r="K14" s="225"/>
      <c r="L14" s="204"/>
    </row>
    <row r="15" spans="1:12" ht="15.6" customHeight="1">
      <c r="A15" s="8" t="s">
        <v>35</v>
      </c>
      <c r="B15" s="59" t="s">
        <v>30</v>
      </c>
      <c r="C15" s="59" t="s">
        <v>30</v>
      </c>
      <c r="D15" s="85" t="s">
        <v>6</v>
      </c>
      <c r="E15" s="85" t="s">
        <v>6</v>
      </c>
      <c r="F15" s="85"/>
      <c r="G15" s="39" t="s">
        <v>36</v>
      </c>
      <c r="H15" s="320"/>
      <c r="I15" s="227"/>
      <c r="J15" s="32" t="s">
        <v>37</v>
      </c>
      <c r="K15" s="225">
        <f>IF(B16="Y", 1, 0)</f>
        <v>1</v>
      </c>
      <c r="L15" s="204"/>
    </row>
    <row r="16" spans="1:12" ht="15.6" customHeight="1">
      <c r="A16" s="8" t="s">
        <v>38</v>
      </c>
      <c r="B16" s="59" t="s">
        <v>30</v>
      </c>
      <c r="C16" s="85" t="s">
        <v>6</v>
      </c>
      <c r="D16" s="322" t="s">
        <v>39</v>
      </c>
      <c r="E16" s="39">
        <v>15</v>
      </c>
      <c r="F16" s="39"/>
      <c r="G16" s="39" t="s">
        <v>6</v>
      </c>
      <c r="H16" s="319"/>
      <c r="I16" s="227"/>
      <c r="J16" s="32"/>
      <c r="K16" s="225"/>
      <c r="L16" s="204"/>
    </row>
    <row r="17" spans="1:12" ht="15.6" customHeight="1">
      <c r="A17" s="8" t="s">
        <v>40</v>
      </c>
      <c r="B17" s="59" t="s">
        <v>12</v>
      </c>
      <c r="C17" s="85" t="s">
        <v>6</v>
      </c>
      <c r="D17" s="322" t="s">
        <v>41</v>
      </c>
      <c r="E17" s="39">
        <v>2</v>
      </c>
      <c r="F17" s="39"/>
      <c r="G17" s="39" t="s">
        <v>6</v>
      </c>
      <c r="H17" s="319" t="s">
        <v>42</v>
      </c>
      <c r="I17" s="227"/>
      <c r="J17" s="32" t="s">
        <v>43</v>
      </c>
      <c r="K17" s="225">
        <f>IF(B18="Y", 1, 0)</f>
        <v>1</v>
      </c>
      <c r="L17" s="204"/>
    </row>
    <row r="18" spans="1:12" ht="15.6" customHeight="1">
      <c r="A18" s="8" t="s">
        <v>44</v>
      </c>
      <c r="B18" s="59" t="s">
        <v>30</v>
      </c>
      <c r="C18" s="85" t="s">
        <v>6</v>
      </c>
      <c r="D18" s="322" t="s">
        <v>45</v>
      </c>
      <c r="E18" s="16">
        <v>50000</v>
      </c>
      <c r="F18" s="39"/>
      <c r="G18" s="39" t="s">
        <v>46</v>
      </c>
      <c r="H18" s="319"/>
      <c r="I18" s="227"/>
      <c r="J18" s="32" t="s">
        <v>47</v>
      </c>
      <c r="K18" s="225">
        <f>+B41*2</f>
        <v>6</v>
      </c>
      <c r="L18" s="204"/>
    </row>
    <row r="19" spans="1:12" ht="15" customHeight="1">
      <c r="A19" s="129"/>
      <c r="B19" s="59"/>
      <c r="C19" s="85"/>
      <c r="D19" s="322"/>
      <c r="E19" s="16"/>
      <c r="F19" s="39"/>
      <c r="G19" s="39"/>
      <c r="H19" s="319"/>
      <c r="I19" s="227"/>
      <c r="J19" s="32" t="s">
        <v>48</v>
      </c>
      <c r="K19" s="225">
        <f>D41</f>
        <v>0</v>
      </c>
      <c r="L19" s="204"/>
    </row>
    <row r="20" spans="1:12" ht="15" customHeight="1" thickBot="1">
      <c r="A20" s="129"/>
      <c r="B20" s="59"/>
      <c r="C20" s="59"/>
      <c r="D20" s="59"/>
      <c r="E20" s="39"/>
      <c r="F20" s="39"/>
      <c r="G20" s="39"/>
      <c r="H20" s="319"/>
      <c r="I20" s="227"/>
      <c r="J20" s="32" t="s">
        <v>49</v>
      </c>
      <c r="K20" s="225">
        <f>B61</f>
        <v>2</v>
      </c>
      <c r="L20" s="204"/>
    </row>
    <row r="21" spans="1:12" ht="15" customHeight="1" thickTop="1" thickBot="1">
      <c r="A21" s="124" t="s">
        <v>50</v>
      </c>
      <c r="B21" s="321" t="s">
        <v>25</v>
      </c>
      <c r="C21" s="322" t="s">
        <v>26</v>
      </c>
      <c r="D21" s="322" t="s">
        <v>51</v>
      </c>
      <c r="E21" s="322" t="s">
        <v>52</v>
      </c>
      <c r="F21" s="294"/>
      <c r="G21" s="58"/>
      <c r="H21" s="318"/>
      <c r="I21" s="227"/>
      <c r="J21" s="32" t="s">
        <v>53</v>
      </c>
      <c r="K21" s="225">
        <v>0</v>
      </c>
      <c r="L21" s="204"/>
    </row>
    <row r="22" spans="1:12" ht="15" customHeight="1" thickTop="1">
      <c r="A22" s="17" t="s">
        <v>54</v>
      </c>
      <c r="B22" s="59" t="s">
        <v>30</v>
      </c>
      <c r="C22" s="59" t="s">
        <v>12</v>
      </c>
      <c r="D22" s="85" t="s">
        <v>6</v>
      </c>
      <c r="E22" s="85" t="s">
        <v>6</v>
      </c>
      <c r="F22" s="85"/>
      <c r="G22" s="39" t="s">
        <v>36</v>
      </c>
      <c r="H22" s="319"/>
      <c r="I22" s="227" t="str">
        <f t="shared" ref="I22:I38" si="0">B22&amp;C22</f>
        <v>YN</v>
      </c>
      <c r="J22" s="32"/>
      <c r="K22" s="39"/>
      <c r="L22" s="204"/>
    </row>
    <row r="23" spans="1:12" ht="15" customHeight="1">
      <c r="A23" s="8" t="s">
        <v>55</v>
      </c>
      <c r="B23" s="59" t="s">
        <v>30</v>
      </c>
      <c r="C23" s="59" t="s">
        <v>12</v>
      </c>
      <c r="D23" s="85" t="s">
        <v>6</v>
      </c>
      <c r="E23" s="85" t="s">
        <v>6</v>
      </c>
      <c r="F23" s="85"/>
      <c r="G23" s="39" t="s">
        <v>36</v>
      </c>
      <c r="H23" s="319"/>
      <c r="I23" s="227" t="str">
        <f t="shared" si="0"/>
        <v>YN</v>
      </c>
      <c r="J23" s="32"/>
      <c r="K23" s="8"/>
      <c r="L23" s="33"/>
    </row>
    <row r="24" spans="1:12" ht="15" customHeight="1" thickBot="1">
      <c r="A24" s="8" t="s">
        <v>56</v>
      </c>
      <c r="B24" s="59" t="s">
        <v>30</v>
      </c>
      <c r="C24" s="59" t="s">
        <v>12</v>
      </c>
      <c r="D24" s="59" t="s">
        <v>12</v>
      </c>
      <c r="E24" s="59" t="s">
        <v>12</v>
      </c>
      <c r="F24" s="85"/>
      <c r="G24" s="39" t="s">
        <v>36</v>
      </c>
      <c r="H24" s="319"/>
      <c r="I24" s="225" t="str">
        <f t="shared" si="0"/>
        <v>YN</v>
      </c>
      <c r="J24" s="36"/>
      <c r="K24" s="205"/>
      <c r="L24" s="37"/>
    </row>
    <row r="25" spans="1:12" ht="15" customHeight="1" thickTop="1">
      <c r="A25" s="8" t="s">
        <v>57</v>
      </c>
      <c r="B25" s="59" t="s">
        <v>30</v>
      </c>
      <c r="C25" s="59" t="s">
        <v>12</v>
      </c>
      <c r="D25" s="59" t="s">
        <v>12</v>
      </c>
      <c r="E25" s="59" t="s">
        <v>12</v>
      </c>
      <c r="F25" s="85"/>
      <c r="G25" s="39" t="s">
        <v>36</v>
      </c>
      <c r="H25" s="319"/>
      <c r="I25" s="225" t="str">
        <f t="shared" si="0"/>
        <v>YN</v>
      </c>
    </row>
    <row r="26" spans="1:12" ht="15" customHeight="1">
      <c r="A26" s="8" t="s">
        <v>57</v>
      </c>
      <c r="B26" s="59" t="s">
        <v>30</v>
      </c>
      <c r="C26" s="59" t="s">
        <v>30</v>
      </c>
      <c r="D26" s="59" t="s">
        <v>12</v>
      </c>
      <c r="E26" s="59" t="s">
        <v>30</v>
      </c>
      <c r="F26" s="85"/>
      <c r="G26" s="39" t="s">
        <v>36</v>
      </c>
      <c r="H26" s="319"/>
      <c r="I26" s="225" t="str">
        <f t="shared" si="0"/>
        <v>YY</v>
      </c>
    </row>
    <row r="27" spans="1:12" ht="15" customHeight="1">
      <c r="A27" s="8" t="s">
        <v>57</v>
      </c>
      <c r="B27" s="59" t="s">
        <v>12</v>
      </c>
      <c r="C27" s="59" t="s">
        <v>12</v>
      </c>
      <c r="D27" s="59" t="s">
        <v>12</v>
      </c>
      <c r="E27" s="59" t="s">
        <v>12</v>
      </c>
      <c r="F27" s="85"/>
      <c r="G27" s="39" t="s">
        <v>58</v>
      </c>
      <c r="H27" s="319"/>
      <c r="I27" s="225" t="str">
        <f t="shared" si="0"/>
        <v>NN</v>
      </c>
    </row>
    <row r="28" spans="1:12" ht="15" customHeight="1">
      <c r="A28" s="8" t="s">
        <v>57</v>
      </c>
      <c r="B28" s="59" t="s">
        <v>12</v>
      </c>
      <c r="C28" s="59" t="s">
        <v>12</v>
      </c>
      <c r="D28" s="59" t="s">
        <v>12</v>
      </c>
      <c r="E28" s="59" t="s">
        <v>12</v>
      </c>
      <c r="F28" s="85"/>
      <c r="G28" s="39" t="s">
        <v>59</v>
      </c>
      <c r="H28" s="319"/>
      <c r="I28" s="225" t="str">
        <f t="shared" si="0"/>
        <v>NN</v>
      </c>
    </row>
    <row r="29" spans="1:12" ht="15" customHeight="1">
      <c r="A29" s="8" t="s">
        <v>57</v>
      </c>
      <c r="B29" s="59" t="s">
        <v>12</v>
      </c>
      <c r="C29" s="59" t="s">
        <v>12</v>
      </c>
      <c r="D29" s="59" t="s">
        <v>12</v>
      </c>
      <c r="E29" s="59" t="s">
        <v>12</v>
      </c>
      <c r="F29" s="85"/>
      <c r="G29" s="39" t="s">
        <v>60</v>
      </c>
      <c r="H29" s="319"/>
      <c r="I29" s="225" t="str">
        <f t="shared" si="0"/>
        <v>NN</v>
      </c>
    </row>
    <row r="30" spans="1:12" ht="15" customHeight="1">
      <c r="A30" s="8" t="s">
        <v>57</v>
      </c>
      <c r="B30" s="59" t="s">
        <v>12</v>
      </c>
      <c r="C30" s="59" t="s">
        <v>12</v>
      </c>
      <c r="D30" s="59" t="s">
        <v>12</v>
      </c>
      <c r="E30" s="59" t="s">
        <v>12</v>
      </c>
      <c r="F30" s="85"/>
      <c r="G30" s="39" t="s">
        <v>61</v>
      </c>
      <c r="H30" s="319"/>
      <c r="I30" s="225" t="str">
        <f t="shared" ref="I30:I32" si="1">B30&amp;C30</f>
        <v>NN</v>
      </c>
    </row>
    <row r="31" spans="1:12" ht="15" customHeight="1">
      <c r="A31" s="8" t="s">
        <v>57</v>
      </c>
      <c r="B31" s="59" t="s">
        <v>12</v>
      </c>
      <c r="C31" s="59" t="s">
        <v>12</v>
      </c>
      <c r="D31" s="59" t="s">
        <v>12</v>
      </c>
      <c r="E31" s="59" t="s">
        <v>12</v>
      </c>
      <c r="F31" s="85"/>
      <c r="G31" s="39" t="s">
        <v>62</v>
      </c>
      <c r="H31" s="319"/>
      <c r="I31" s="225" t="str">
        <f t="shared" si="1"/>
        <v>NN</v>
      </c>
    </row>
    <row r="32" spans="1:12" ht="15" customHeight="1">
      <c r="A32" s="8" t="s">
        <v>57</v>
      </c>
      <c r="B32" s="59" t="s">
        <v>12</v>
      </c>
      <c r="C32" s="59" t="s">
        <v>12</v>
      </c>
      <c r="D32" s="59" t="s">
        <v>12</v>
      </c>
      <c r="E32" s="59" t="s">
        <v>12</v>
      </c>
      <c r="F32" s="85"/>
      <c r="G32" s="39" t="s">
        <v>63</v>
      </c>
      <c r="H32" s="319"/>
      <c r="I32" s="225" t="str">
        <f t="shared" si="1"/>
        <v>NN</v>
      </c>
    </row>
    <row r="33" spans="1:9" ht="15" customHeight="1">
      <c r="A33" s="8" t="s">
        <v>57</v>
      </c>
      <c r="B33" s="59" t="s">
        <v>12</v>
      </c>
      <c r="C33" s="59" t="s">
        <v>12</v>
      </c>
      <c r="D33" s="59" t="s">
        <v>12</v>
      </c>
      <c r="E33" s="59" t="s">
        <v>12</v>
      </c>
      <c r="F33" s="85"/>
      <c r="G33" s="39" t="s">
        <v>64</v>
      </c>
      <c r="H33" s="319"/>
      <c r="I33" s="225" t="str">
        <f t="shared" ref="I33" si="2">B33&amp;C33</f>
        <v>NN</v>
      </c>
    </row>
    <row r="34" spans="1:9" ht="15" customHeight="1">
      <c r="A34" s="8" t="s">
        <v>57</v>
      </c>
      <c r="B34" s="59" t="s">
        <v>12</v>
      </c>
      <c r="C34" s="59" t="s">
        <v>12</v>
      </c>
      <c r="D34" s="59" t="s">
        <v>12</v>
      </c>
      <c r="E34" s="59" t="s">
        <v>12</v>
      </c>
      <c r="F34" s="85"/>
      <c r="G34" s="39" t="s">
        <v>65</v>
      </c>
      <c r="H34" s="319"/>
      <c r="I34" s="225" t="str">
        <f t="shared" si="0"/>
        <v>NN</v>
      </c>
    </row>
    <row r="35" spans="1:9" ht="15" customHeight="1">
      <c r="A35" s="8" t="s">
        <v>57</v>
      </c>
      <c r="B35" s="59" t="s">
        <v>12</v>
      </c>
      <c r="C35" s="59" t="s">
        <v>12</v>
      </c>
      <c r="D35" s="59" t="s">
        <v>12</v>
      </c>
      <c r="E35" s="59" t="s">
        <v>12</v>
      </c>
      <c r="F35" s="85"/>
      <c r="G35" s="39" t="s">
        <v>66</v>
      </c>
      <c r="H35" s="319"/>
      <c r="I35" s="225" t="str">
        <f t="shared" si="0"/>
        <v>NN</v>
      </c>
    </row>
    <row r="36" spans="1:9" ht="15" customHeight="1">
      <c r="A36" s="8" t="s">
        <v>57</v>
      </c>
      <c r="B36" s="59" t="s">
        <v>12</v>
      </c>
      <c r="C36" s="59" t="s">
        <v>12</v>
      </c>
      <c r="D36" s="59" t="s">
        <v>12</v>
      </c>
      <c r="E36" s="59" t="s">
        <v>12</v>
      </c>
      <c r="F36" s="85"/>
      <c r="G36" s="39" t="s">
        <v>67</v>
      </c>
      <c r="H36" s="319"/>
      <c r="I36" s="225" t="str">
        <f t="shared" si="0"/>
        <v>NN</v>
      </c>
    </row>
    <row r="37" spans="1:9" ht="15" customHeight="1">
      <c r="A37" s="8" t="s">
        <v>57</v>
      </c>
      <c r="B37" s="59" t="s">
        <v>12</v>
      </c>
      <c r="C37" s="59" t="s">
        <v>12</v>
      </c>
      <c r="D37" s="59" t="s">
        <v>12</v>
      </c>
      <c r="E37" s="59" t="s">
        <v>12</v>
      </c>
      <c r="F37" s="85"/>
      <c r="G37" s="39" t="s">
        <v>68</v>
      </c>
      <c r="H37" s="319"/>
      <c r="I37" s="225" t="str">
        <f t="shared" si="0"/>
        <v>NN</v>
      </c>
    </row>
    <row r="38" spans="1:9" ht="15" customHeight="1">
      <c r="A38" s="8" t="s">
        <v>57</v>
      </c>
      <c r="B38" s="59" t="s">
        <v>12</v>
      </c>
      <c r="C38" s="59" t="s">
        <v>12</v>
      </c>
      <c r="D38" s="59" t="s">
        <v>12</v>
      </c>
      <c r="E38" s="59" t="s">
        <v>12</v>
      </c>
      <c r="F38" s="85"/>
      <c r="G38" s="39" t="s">
        <v>69</v>
      </c>
      <c r="H38" s="319"/>
      <c r="I38" s="225" t="str">
        <f t="shared" si="0"/>
        <v>NN</v>
      </c>
    </row>
    <row r="39" spans="1:9" ht="15" customHeight="1">
      <c r="A39" s="8" t="s">
        <v>57</v>
      </c>
      <c r="B39" s="59" t="s">
        <v>12</v>
      </c>
      <c r="C39" s="59" t="s">
        <v>12</v>
      </c>
      <c r="D39" s="59" t="s">
        <v>12</v>
      </c>
      <c r="E39" s="59" t="s">
        <v>12</v>
      </c>
      <c r="F39" s="85"/>
      <c r="G39" s="39" t="s">
        <v>70</v>
      </c>
      <c r="H39" s="319"/>
      <c r="I39" s="225" t="str">
        <f t="shared" ref="I39" si="3">B39&amp;C39</f>
        <v>NN</v>
      </c>
    </row>
    <row r="40" spans="1:9" ht="15" customHeight="1">
      <c r="A40" s="8"/>
      <c r="B40" s="59"/>
      <c r="C40" s="59"/>
      <c r="D40" s="59"/>
      <c r="E40" s="39"/>
      <c r="F40" s="39"/>
      <c r="G40" s="39"/>
      <c r="H40" s="319"/>
      <c r="I40" s="225"/>
    </row>
    <row r="41" spans="1:9" ht="15" customHeight="1">
      <c r="A41" s="226" t="s">
        <v>71</v>
      </c>
      <c r="B41" s="325">
        <f>COUNTIF(B24:B39,"Y")</f>
        <v>3</v>
      </c>
      <c r="C41" s="325">
        <f>COUNTIF(C24:C39,"Y")</f>
        <v>1</v>
      </c>
      <c r="D41" s="325">
        <f>COUNTIF(D24:D39,"Y")</f>
        <v>0</v>
      </c>
      <c r="E41" s="325">
        <f>COUNTIF(E24:E39,"Y")</f>
        <v>1</v>
      </c>
      <c r="F41" s="225"/>
      <c r="G41" s="39"/>
      <c r="H41" s="319"/>
      <c r="I41" s="225"/>
    </row>
    <row r="42" spans="1:9" ht="15" customHeight="1">
      <c r="A42" s="129"/>
      <c r="B42" s="59"/>
      <c r="C42" s="59"/>
      <c r="D42" s="59"/>
      <c r="E42" s="59"/>
      <c r="F42" s="39"/>
      <c r="G42" s="39"/>
      <c r="H42" s="319"/>
      <c r="I42" s="225"/>
    </row>
    <row r="43" spans="1:9" ht="15" customHeight="1" thickBot="1">
      <c r="A43" s="129"/>
      <c r="B43" s="59"/>
      <c r="C43" s="59"/>
      <c r="D43" s="59"/>
      <c r="E43" s="39"/>
      <c r="F43" s="39"/>
      <c r="G43" s="39"/>
      <c r="H43" s="319"/>
      <c r="I43" s="225"/>
    </row>
    <row r="44" spans="1:9" ht="15" customHeight="1" thickTop="1" thickBot="1">
      <c r="A44" s="124" t="s">
        <v>72</v>
      </c>
      <c r="B44" s="321" t="s">
        <v>25</v>
      </c>
      <c r="C44" s="322" t="s">
        <v>26</v>
      </c>
      <c r="D44" s="85" t="s">
        <v>6</v>
      </c>
      <c r="E44" s="85" t="s">
        <v>6</v>
      </c>
      <c r="F44" s="294"/>
      <c r="G44" s="58"/>
      <c r="H44" s="318"/>
      <c r="I44" s="225"/>
    </row>
    <row r="45" spans="1:9" ht="15" customHeight="1" thickTop="1">
      <c r="A45" s="17" t="s">
        <v>73</v>
      </c>
      <c r="B45" s="59" t="s">
        <v>30</v>
      </c>
      <c r="C45" s="59" t="s">
        <v>12</v>
      </c>
      <c r="D45" s="85" t="s">
        <v>6</v>
      </c>
      <c r="E45" s="85" t="s">
        <v>6</v>
      </c>
      <c r="F45" s="85"/>
      <c r="G45" s="39" t="s">
        <v>36</v>
      </c>
      <c r="H45" s="319"/>
      <c r="I45" s="225" t="str">
        <f>B45&amp;C45</f>
        <v>YN</v>
      </c>
    </row>
    <row r="46" spans="1:9" ht="15" customHeight="1">
      <c r="A46" s="8" t="s">
        <v>73</v>
      </c>
      <c r="B46" s="59" t="s">
        <v>30</v>
      </c>
      <c r="C46" s="59" t="s">
        <v>12</v>
      </c>
      <c r="D46" s="85" t="s">
        <v>6</v>
      </c>
      <c r="E46" s="85" t="s">
        <v>6</v>
      </c>
      <c r="F46" s="85"/>
      <c r="G46" s="39" t="s">
        <v>36</v>
      </c>
      <c r="H46" s="319"/>
      <c r="I46" s="225" t="str">
        <f t="shared" ref="I46:I59" si="4">B46&amp;C46</f>
        <v>YN</v>
      </c>
    </row>
    <row r="47" spans="1:9" ht="15" customHeight="1">
      <c r="A47" s="8" t="s">
        <v>73</v>
      </c>
      <c r="B47" s="59" t="s">
        <v>12</v>
      </c>
      <c r="C47" s="59" t="s">
        <v>12</v>
      </c>
      <c r="D47" s="85" t="s">
        <v>6</v>
      </c>
      <c r="E47" s="85" t="s">
        <v>6</v>
      </c>
      <c r="F47" s="85"/>
      <c r="G47" s="39" t="s">
        <v>74</v>
      </c>
      <c r="H47" s="319"/>
      <c r="I47" s="225" t="str">
        <f t="shared" si="4"/>
        <v>NN</v>
      </c>
    </row>
    <row r="48" spans="1:9" ht="15" customHeight="1">
      <c r="A48" s="8" t="s">
        <v>73</v>
      </c>
      <c r="B48" s="59" t="s">
        <v>12</v>
      </c>
      <c r="C48" s="59" t="s">
        <v>12</v>
      </c>
      <c r="D48" s="85" t="s">
        <v>6</v>
      </c>
      <c r="E48" s="85" t="s">
        <v>6</v>
      </c>
      <c r="F48" s="85"/>
      <c r="G48" s="39" t="s">
        <v>75</v>
      </c>
      <c r="H48" s="319"/>
      <c r="I48" s="225" t="str">
        <f t="shared" si="4"/>
        <v>NN</v>
      </c>
    </row>
    <row r="49" spans="1:9" ht="15" customHeight="1">
      <c r="A49" s="8" t="s">
        <v>73</v>
      </c>
      <c r="B49" s="59" t="s">
        <v>12</v>
      </c>
      <c r="C49" s="59" t="s">
        <v>12</v>
      </c>
      <c r="D49" s="85" t="s">
        <v>6</v>
      </c>
      <c r="E49" s="85" t="s">
        <v>6</v>
      </c>
      <c r="F49" s="85"/>
      <c r="G49" s="39" t="s">
        <v>76</v>
      </c>
      <c r="H49" s="319"/>
      <c r="I49" s="225" t="str">
        <f t="shared" si="4"/>
        <v>NN</v>
      </c>
    </row>
    <row r="50" spans="1:9" ht="15" customHeight="1">
      <c r="A50" s="8" t="s">
        <v>73</v>
      </c>
      <c r="B50" s="59" t="s">
        <v>12</v>
      </c>
      <c r="C50" s="59" t="s">
        <v>12</v>
      </c>
      <c r="D50" s="85" t="s">
        <v>6</v>
      </c>
      <c r="E50" s="85" t="s">
        <v>6</v>
      </c>
      <c r="F50" s="85"/>
      <c r="G50" s="39" t="s">
        <v>77</v>
      </c>
      <c r="H50" s="319"/>
      <c r="I50" s="225" t="str">
        <f t="shared" si="4"/>
        <v>NN</v>
      </c>
    </row>
    <row r="51" spans="1:9" ht="15" customHeight="1">
      <c r="A51" s="8" t="s">
        <v>73</v>
      </c>
      <c r="B51" s="59" t="s">
        <v>12</v>
      </c>
      <c r="C51" s="59" t="s">
        <v>12</v>
      </c>
      <c r="D51" s="85" t="s">
        <v>6</v>
      </c>
      <c r="E51" s="85" t="s">
        <v>6</v>
      </c>
      <c r="F51" s="85"/>
      <c r="G51" s="39" t="s">
        <v>78</v>
      </c>
      <c r="H51" s="319"/>
      <c r="I51" s="225" t="str">
        <f t="shared" si="4"/>
        <v>NN</v>
      </c>
    </row>
    <row r="52" spans="1:9" ht="15" customHeight="1">
      <c r="A52" s="8" t="s">
        <v>73</v>
      </c>
      <c r="B52" s="59" t="s">
        <v>12</v>
      </c>
      <c r="C52" s="59" t="s">
        <v>12</v>
      </c>
      <c r="D52" s="85" t="s">
        <v>6</v>
      </c>
      <c r="E52" s="85" t="s">
        <v>6</v>
      </c>
      <c r="F52" s="85"/>
      <c r="G52" s="39" t="s">
        <v>79</v>
      </c>
      <c r="H52" s="319"/>
      <c r="I52" s="225" t="str">
        <f t="shared" si="4"/>
        <v>NN</v>
      </c>
    </row>
    <row r="53" spans="1:9" ht="15" customHeight="1">
      <c r="A53" s="8" t="s">
        <v>73</v>
      </c>
      <c r="B53" s="59" t="s">
        <v>12</v>
      </c>
      <c r="C53" s="59" t="s">
        <v>12</v>
      </c>
      <c r="D53" s="85" t="s">
        <v>6</v>
      </c>
      <c r="E53" s="85" t="s">
        <v>6</v>
      </c>
      <c r="F53" s="85"/>
      <c r="G53" s="39" t="s">
        <v>80</v>
      </c>
      <c r="H53" s="319"/>
      <c r="I53" s="225" t="str">
        <f t="shared" si="4"/>
        <v>NN</v>
      </c>
    </row>
    <row r="54" spans="1:9" ht="15" customHeight="1">
      <c r="A54" s="8" t="s">
        <v>73</v>
      </c>
      <c r="B54" s="59" t="s">
        <v>12</v>
      </c>
      <c r="C54" s="59" t="s">
        <v>12</v>
      </c>
      <c r="D54" s="85" t="s">
        <v>6</v>
      </c>
      <c r="E54" s="85" t="s">
        <v>6</v>
      </c>
      <c r="F54" s="85"/>
      <c r="G54" s="39" t="s">
        <v>81</v>
      </c>
      <c r="H54" s="319"/>
      <c r="I54" s="225" t="str">
        <f t="shared" si="4"/>
        <v>NN</v>
      </c>
    </row>
    <row r="55" spans="1:9" ht="15" customHeight="1">
      <c r="A55" s="8" t="s">
        <v>73</v>
      </c>
      <c r="B55" s="59" t="s">
        <v>12</v>
      </c>
      <c r="C55" s="59" t="s">
        <v>12</v>
      </c>
      <c r="D55" s="85" t="s">
        <v>6</v>
      </c>
      <c r="E55" s="85" t="s">
        <v>6</v>
      </c>
      <c r="F55" s="85"/>
      <c r="G55" s="39" t="s">
        <v>82</v>
      </c>
      <c r="H55" s="319"/>
      <c r="I55" s="225" t="str">
        <f t="shared" si="4"/>
        <v>NN</v>
      </c>
    </row>
    <row r="56" spans="1:9" ht="15" customHeight="1">
      <c r="A56" s="8" t="s">
        <v>73</v>
      </c>
      <c r="B56" s="59" t="s">
        <v>12</v>
      </c>
      <c r="C56" s="59" t="s">
        <v>12</v>
      </c>
      <c r="D56" s="85" t="s">
        <v>6</v>
      </c>
      <c r="E56" s="85" t="s">
        <v>6</v>
      </c>
      <c r="F56" s="85"/>
      <c r="G56" s="39" t="s">
        <v>83</v>
      </c>
      <c r="H56" s="319"/>
      <c r="I56" s="225" t="str">
        <f t="shared" si="4"/>
        <v>NN</v>
      </c>
    </row>
    <row r="57" spans="1:9" ht="15" customHeight="1">
      <c r="A57" s="8" t="s">
        <v>73</v>
      </c>
      <c r="B57" s="59" t="s">
        <v>12</v>
      </c>
      <c r="C57" s="59" t="s">
        <v>12</v>
      </c>
      <c r="D57" s="85" t="s">
        <v>6</v>
      </c>
      <c r="E57" s="85" t="s">
        <v>6</v>
      </c>
      <c r="F57" s="85"/>
      <c r="G57" s="39" t="s">
        <v>84</v>
      </c>
      <c r="H57" s="319"/>
      <c r="I57" s="225" t="str">
        <f t="shared" si="4"/>
        <v>NN</v>
      </c>
    </row>
    <row r="58" spans="1:9" ht="15" customHeight="1">
      <c r="A58" s="8" t="s">
        <v>73</v>
      </c>
      <c r="B58" s="59" t="s">
        <v>12</v>
      </c>
      <c r="C58" s="59" t="s">
        <v>12</v>
      </c>
      <c r="D58" s="85" t="s">
        <v>6</v>
      </c>
      <c r="E58" s="85" t="s">
        <v>6</v>
      </c>
      <c r="F58" s="85"/>
      <c r="G58" s="39" t="s">
        <v>85</v>
      </c>
      <c r="H58" s="319"/>
      <c r="I58" s="225" t="str">
        <f t="shared" si="4"/>
        <v>NN</v>
      </c>
    </row>
    <row r="59" spans="1:9" ht="15" customHeight="1">
      <c r="A59" s="8" t="s">
        <v>73</v>
      </c>
      <c r="B59" s="59" t="s">
        <v>12</v>
      </c>
      <c r="C59" s="59" t="s">
        <v>12</v>
      </c>
      <c r="D59" s="85" t="s">
        <v>6</v>
      </c>
      <c r="E59" s="85" t="s">
        <v>6</v>
      </c>
      <c r="F59" s="85"/>
      <c r="G59" s="39" t="s">
        <v>86</v>
      </c>
      <c r="H59" s="319"/>
      <c r="I59" s="225" t="str">
        <f t="shared" si="4"/>
        <v>NN</v>
      </c>
    </row>
    <row r="60" spans="1:9" ht="15" customHeight="1">
      <c r="A60" s="8"/>
      <c r="B60" s="59"/>
      <c r="C60" s="59"/>
      <c r="D60" s="59"/>
      <c r="E60" s="39"/>
      <c r="F60" s="39"/>
      <c r="G60" s="39"/>
      <c r="H60" s="319"/>
      <c r="I60" s="225"/>
    </row>
    <row r="61" spans="1:9" ht="15" customHeight="1">
      <c r="A61" s="226" t="s">
        <v>87</v>
      </c>
      <c r="B61" s="325">
        <f>COUNTIF(B45:B59,"Y")</f>
        <v>2</v>
      </c>
      <c r="C61" s="325"/>
      <c r="D61" s="325"/>
      <c r="E61" s="225"/>
      <c r="F61" s="225"/>
      <c r="G61" s="39"/>
      <c r="H61" s="319"/>
      <c r="I61" s="225"/>
    </row>
    <row r="62" spans="1:9" ht="15" customHeight="1">
      <c r="A62" s="8"/>
      <c r="B62" s="59"/>
      <c r="C62" s="59"/>
      <c r="D62" s="59"/>
      <c r="E62" s="39"/>
      <c r="F62" s="39"/>
      <c r="G62" s="39"/>
      <c r="H62" s="319"/>
      <c r="I62" s="225"/>
    </row>
    <row r="63" spans="1:9" ht="15" customHeight="1" thickBot="1">
      <c r="A63" s="8"/>
      <c r="B63" s="59"/>
      <c r="C63" s="59"/>
      <c r="D63" s="59"/>
      <c r="E63" s="39"/>
      <c r="F63" s="39"/>
      <c r="G63" s="39"/>
      <c r="H63" s="319"/>
      <c r="I63" s="225"/>
    </row>
    <row r="64" spans="1:9" ht="15" customHeight="1" thickTop="1" thickBot="1">
      <c r="A64" s="124" t="s">
        <v>88</v>
      </c>
      <c r="B64" s="321" t="s">
        <v>89</v>
      </c>
      <c r="C64" s="322" t="s">
        <v>90</v>
      </c>
      <c r="D64" s="322"/>
      <c r="E64" s="322"/>
      <c r="F64" s="324"/>
      <c r="G64" s="39"/>
      <c r="H64" s="319"/>
      <c r="I64" s="225"/>
    </row>
    <row r="65" spans="1:9" ht="15" customHeight="1" thickTop="1">
      <c r="A65" s="8" t="s">
        <v>91</v>
      </c>
      <c r="B65" s="59">
        <v>0</v>
      </c>
      <c r="C65" s="85">
        <f>B65*'Variables-Services'!D28</f>
        <v>0</v>
      </c>
      <c r="D65" s="85" t="s">
        <v>6</v>
      </c>
      <c r="E65" s="85" t="s">
        <v>6</v>
      </c>
      <c r="F65" s="85" t="s">
        <v>6</v>
      </c>
      <c r="G65" s="39"/>
      <c r="H65" s="319"/>
      <c r="I65" s="225"/>
    </row>
    <row r="66" spans="1:9" ht="15" customHeight="1">
      <c r="A66" s="8" t="s">
        <v>92</v>
      </c>
      <c r="B66" s="59">
        <v>0</v>
      </c>
      <c r="C66" s="85">
        <f>B66*'Variables-Services'!D29</f>
        <v>0</v>
      </c>
      <c r="D66" s="85" t="s">
        <v>6</v>
      </c>
      <c r="E66" s="85" t="s">
        <v>6</v>
      </c>
      <c r="F66" s="85" t="s">
        <v>6</v>
      </c>
      <c r="G66" s="39"/>
      <c r="H66" s="319"/>
      <c r="I66" s="225"/>
    </row>
    <row r="67" spans="1:9" ht="15" customHeight="1">
      <c r="A67" s="8" t="s">
        <v>93</v>
      </c>
      <c r="B67" s="59">
        <v>0</v>
      </c>
      <c r="C67" s="85">
        <f>B67*'Variables-Services'!D30</f>
        <v>0</v>
      </c>
      <c r="D67" s="85" t="s">
        <v>6</v>
      </c>
      <c r="E67" s="85" t="s">
        <v>6</v>
      </c>
      <c r="F67" s="85" t="s">
        <v>6</v>
      </c>
      <c r="G67" s="39"/>
      <c r="H67" s="319"/>
      <c r="I67" s="225"/>
    </row>
    <row r="68" spans="1:9" ht="15" customHeight="1">
      <c r="A68" s="226" t="s">
        <v>94</v>
      </c>
      <c r="B68" s="325">
        <f>SUM(B65:B67)</f>
        <v>0</v>
      </c>
      <c r="C68" s="325">
        <f>SUM(C65:C67)</f>
        <v>0</v>
      </c>
      <c r="D68" s="325"/>
      <c r="E68" s="225"/>
      <c r="F68" s="225"/>
      <c r="G68" s="39"/>
      <c r="H68" s="319"/>
      <c r="I68" s="225"/>
    </row>
    <row r="69" spans="1:9" ht="15" customHeight="1">
      <c r="A69" s="8"/>
      <c r="B69" s="59"/>
      <c r="C69" s="59"/>
      <c r="D69" s="59"/>
      <c r="E69" s="39"/>
      <c r="F69" s="39"/>
      <c r="G69" s="39"/>
      <c r="H69" s="319"/>
      <c r="I69" s="225"/>
    </row>
    <row r="70" spans="1:9" ht="15" customHeight="1">
      <c r="A70" s="8" t="s">
        <v>95</v>
      </c>
      <c r="B70" s="59">
        <v>0</v>
      </c>
      <c r="C70" s="85">
        <f>B70*'Variables-Services'!D28 + IF(B70 &gt; 0, 'Variables-Services'!$D$31, 0)</f>
        <v>0</v>
      </c>
      <c r="D70" s="85" t="s">
        <v>6</v>
      </c>
      <c r="E70" s="85" t="s">
        <v>6</v>
      </c>
      <c r="F70" s="85" t="s">
        <v>6</v>
      </c>
      <c r="G70" s="39"/>
      <c r="H70" s="319"/>
      <c r="I70" s="225"/>
    </row>
    <row r="71" spans="1:9" ht="15" customHeight="1">
      <c r="A71" s="8" t="s">
        <v>96</v>
      </c>
      <c r="B71" s="59">
        <v>0</v>
      </c>
      <c r="C71" s="85">
        <f>B71*'Variables-Services'!D29 + IF(B71 &gt; 0, 'Variables-Services'!$D$31, 0)</f>
        <v>0</v>
      </c>
      <c r="D71" s="85" t="s">
        <v>6</v>
      </c>
      <c r="E71" s="85" t="s">
        <v>6</v>
      </c>
      <c r="F71" s="85" t="s">
        <v>6</v>
      </c>
      <c r="G71" s="39"/>
      <c r="H71" s="319"/>
      <c r="I71" s="225"/>
    </row>
    <row r="72" spans="1:9" ht="15" customHeight="1">
      <c r="A72" s="8" t="s">
        <v>97</v>
      </c>
      <c r="B72" s="59">
        <v>0</v>
      </c>
      <c r="C72" s="85">
        <f>B72*'Variables-Services'!D30 + IF(B72 &gt; 0, 'Variables-Services'!$D$31, 0)</f>
        <v>0</v>
      </c>
      <c r="D72" s="85" t="s">
        <v>6</v>
      </c>
      <c r="E72" s="85" t="s">
        <v>6</v>
      </c>
      <c r="F72" s="85" t="s">
        <v>6</v>
      </c>
      <c r="G72" s="39"/>
      <c r="H72" s="319"/>
      <c r="I72" s="225"/>
    </row>
    <row r="73" spans="1:9" ht="15" customHeight="1">
      <c r="A73" s="226" t="s">
        <v>98</v>
      </c>
      <c r="B73" s="325">
        <f>SUM(B70:B72)</f>
        <v>0</v>
      </c>
      <c r="C73" s="325">
        <f>SUM(C70:C72)</f>
        <v>0</v>
      </c>
      <c r="D73" s="325"/>
      <c r="E73" s="225"/>
      <c r="F73" s="225"/>
      <c r="G73" s="39"/>
      <c r="H73" s="319"/>
      <c r="I73" s="225"/>
    </row>
    <row r="74" spans="1:9" ht="15" customHeight="1">
      <c r="A74" s="8"/>
      <c r="B74" s="59"/>
      <c r="C74" s="59"/>
      <c r="D74" s="59"/>
      <c r="E74" s="39"/>
      <c r="F74" s="39"/>
      <c r="G74" s="39"/>
      <c r="H74" s="319"/>
      <c r="I74" s="225"/>
    </row>
    <row r="75" spans="1:9" ht="15" customHeight="1">
      <c r="A75" s="8" t="s">
        <v>99</v>
      </c>
      <c r="B75" s="59"/>
      <c r="C75" s="59"/>
      <c r="D75" s="59"/>
      <c r="E75" s="245">
        <v>0</v>
      </c>
      <c r="F75" s="245"/>
      <c r="G75" s="39"/>
      <c r="H75" s="319"/>
      <c r="I75" s="225"/>
    </row>
    <row r="76" spans="1:9" ht="15" customHeight="1">
      <c r="A76" s="8" t="s">
        <v>100</v>
      </c>
      <c r="B76" s="59"/>
      <c r="C76" s="59"/>
      <c r="D76" s="59"/>
      <c r="E76" s="245">
        <v>0</v>
      </c>
      <c r="F76" s="245"/>
      <c r="G76" s="39"/>
      <c r="H76" s="319"/>
      <c r="I76" s="39"/>
    </row>
    <row r="77" spans="1:9" ht="15" customHeight="1">
      <c r="A77" s="8" t="s">
        <v>6</v>
      </c>
      <c r="B77" s="59"/>
      <c r="C77" s="59"/>
      <c r="D77" s="59"/>
      <c r="E77" s="39"/>
      <c r="F77" s="39"/>
      <c r="G77" s="39"/>
      <c r="H77" s="319"/>
      <c r="I77" s="39"/>
    </row>
    <row r="78" spans="1:9" ht="15" customHeight="1">
      <c r="A78" s="8" t="s">
        <v>101</v>
      </c>
      <c r="B78" s="59"/>
      <c r="C78" s="59"/>
      <c r="D78" s="59"/>
      <c r="E78" s="39"/>
      <c r="F78" s="39"/>
      <c r="G78" s="39"/>
      <c r="H78" s="319"/>
      <c r="I78" s="39"/>
    </row>
    <row r="79" spans="1:9" ht="15" customHeight="1">
      <c r="A79" s="8" t="s">
        <v>6</v>
      </c>
      <c r="B79" s="59"/>
      <c r="C79" s="59"/>
      <c r="D79" s="59"/>
      <c r="E79" s="39"/>
      <c r="F79" s="39"/>
      <c r="G79" s="39"/>
      <c r="H79" s="319"/>
    </row>
    <row r="80" spans="1:9" ht="15" customHeight="1">
      <c r="B80" s="60"/>
      <c r="C80" s="60"/>
      <c r="D80" s="60"/>
    </row>
    <row r="81" spans="2:4" ht="15" customHeight="1">
      <c r="B81" s="60"/>
      <c r="C81" s="60"/>
      <c r="D81" s="60"/>
    </row>
    <row r="82" spans="2:4" ht="15" customHeight="1">
      <c r="B82" s="60"/>
      <c r="C82" s="60"/>
      <c r="D82" s="60"/>
    </row>
    <row r="83" spans="2:4" ht="15" customHeight="1">
      <c r="B83" s="60"/>
      <c r="C83" s="60"/>
      <c r="D83" s="60"/>
    </row>
    <row r="84" spans="2:4" ht="15" customHeight="1">
      <c r="B84" s="60"/>
      <c r="C84" s="60"/>
      <c r="D84" s="60"/>
    </row>
    <row r="85" spans="2:4" ht="15" customHeight="1">
      <c r="B85" s="60"/>
      <c r="C85" s="60"/>
      <c r="D85" s="60"/>
    </row>
    <row r="86" spans="2:4" ht="15" customHeight="1">
      <c r="B86" s="60"/>
      <c r="C86" s="60"/>
      <c r="D86" s="60"/>
    </row>
    <row r="87" spans="2:4" ht="15" customHeight="1">
      <c r="B87" s="60"/>
      <c r="C87" s="60"/>
      <c r="D87" s="60"/>
    </row>
    <row r="88" spans="2:4" ht="15" customHeight="1">
      <c r="B88" s="60"/>
      <c r="C88" s="60"/>
      <c r="D88" s="60"/>
    </row>
    <row r="89" spans="2:4" ht="15" customHeight="1">
      <c r="B89" s="60"/>
      <c r="C89" s="60"/>
      <c r="D89" s="60"/>
    </row>
    <row r="90" spans="2:4" ht="15" customHeight="1">
      <c r="B90" s="60"/>
      <c r="C90" s="60"/>
      <c r="D90" s="60"/>
    </row>
    <row r="91" spans="2:4" ht="15" customHeight="1"/>
  </sheetData>
  <mergeCells count="1">
    <mergeCell ref="J4:L4"/>
  </mergeCells>
  <phoneticPr fontId="30" type="noConversion"/>
  <dataValidations count="2">
    <dataValidation type="list" allowBlank="1" showInputMessage="1" showErrorMessage="1" error="Must be S or B" prompt="Must be S or B" sqref="B4" xr:uid="{C639E569-0A03-4A72-8EED-A0279C1A4CFC}">
      <formula1>"S,B"</formula1>
    </dataValidation>
    <dataValidation type="list" allowBlank="1" showInputMessage="1" showErrorMessage="1" error="Must be S or B" prompt="Must be N or C" sqref="B5" xr:uid="{037267FD-3497-034A-B5BD-AB5F579260EE}">
      <formula1>"N,C"</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7B3C-D102-4469-8DAA-703DFEFA43BD}">
  <dimension ref="A1:H75"/>
  <sheetViews>
    <sheetView workbookViewId="0">
      <selection activeCell="A2" sqref="A2"/>
    </sheetView>
  </sheetViews>
  <sheetFormatPr defaultColWidth="8.7109375" defaultRowHeight="14.45"/>
  <cols>
    <col min="1" max="2" width="17.42578125" style="60" customWidth="1"/>
    <col min="3" max="3" width="96" customWidth="1"/>
    <col min="4" max="4" width="13.7109375" style="88" customWidth="1"/>
    <col min="5" max="5" width="15.28515625" customWidth="1"/>
    <col min="6" max="6" width="12.140625" customWidth="1"/>
  </cols>
  <sheetData>
    <row r="1" spans="1:8" ht="15" thickTop="1" thickBot="1">
      <c r="A1" s="80" t="s">
        <v>3</v>
      </c>
      <c r="B1" s="80" t="s">
        <v>102</v>
      </c>
      <c r="C1" s="82" t="str">
        <f>"Version Notes for - "&amp;Parameters!G3</f>
        <v>Version Notes for - TELLER CLIENT, STATE</v>
      </c>
      <c r="D1" s="89" t="s">
        <v>103</v>
      </c>
      <c r="E1" s="87"/>
      <c r="F1" s="8"/>
      <c r="G1" s="8"/>
      <c r="H1" s="8"/>
    </row>
    <row r="2" spans="1:8" ht="15" thickTop="1" thickBot="1">
      <c r="A2" s="130" t="s">
        <v>6</v>
      </c>
      <c r="B2" s="94" t="s">
        <v>6</v>
      </c>
      <c r="C2" s="17"/>
      <c r="D2" s="95"/>
      <c r="E2" s="8"/>
      <c r="F2" s="8"/>
      <c r="G2" s="8"/>
      <c r="H2" s="8"/>
    </row>
    <row r="3" spans="1:8" ht="15" thickTop="1" thickBot="1">
      <c r="A3" s="167" t="s">
        <v>104</v>
      </c>
      <c r="B3" s="168" t="s">
        <v>105</v>
      </c>
      <c r="C3" s="166"/>
      <c r="D3" s="267"/>
      <c r="E3" s="8"/>
      <c r="F3" s="8"/>
      <c r="G3" s="8"/>
      <c r="H3" s="8"/>
    </row>
    <row r="4" spans="1:8" ht="15.95" thickTop="1">
      <c r="A4" s="169"/>
      <c r="B4" s="170"/>
      <c r="C4" s="92"/>
      <c r="D4" s="171"/>
      <c r="E4" s="8"/>
      <c r="F4" s="8"/>
      <c r="G4" s="8"/>
      <c r="H4" s="8"/>
    </row>
    <row r="5" spans="1:8" ht="15.6">
      <c r="A5" s="170"/>
      <c r="B5" s="170"/>
      <c r="C5" s="92"/>
      <c r="D5" s="171"/>
      <c r="E5" s="8"/>
      <c r="F5" s="8"/>
      <c r="G5" s="8"/>
      <c r="H5" s="8"/>
    </row>
    <row r="6" spans="1:8" ht="15.95">
      <c r="A6" s="172" t="s">
        <v>106</v>
      </c>
      <c r="B6" s="168" t="s">
        <v>107</v>
      </c>
      <c r="C6" s="92" t="s">
        <v>6</v>
      </c>
      <c r="D6" s="171"/>
      <c r="E6" s="8"/>
      <c r="F6" s="8"/>
      <c r="G6" s="8"/>
      <c r="H6" s="8"/>
    </row>
    <row r="7" spans="1:8" ht="16.149999999999999" thickBot="1">
      <c r="A7" s="172"/>
      <c r="B7" s="172"/>
      <c r="C7" s="92"/>
      <c r="D7" s="171"/>
      <c r="E7" s="8"/>
      <c r="F7" s="8"/>
      <c r="G7" s="8"/>
      <c r="H7" s="8"/>
    </row>
    <row r="8" spans="1:8" ht="15" thickTop="1" thickBot="1">
      <c r="A8" s="167" t="s">
        <v>108</v>
      </c>
      <c r="B8" s="168" t="s">
        <v>105</v>
      </c>
      <c r="C8" s="166" t="s">
        <v>6</v>
      </c>
      <c r="D8" s="171" t="s">
        <v>6</v>
      </c>
      <c r="E8" s="8"/>
      <c r="F8" s="8"/>
      <c r="G8" s="8"/>
      <c r="H8" s="8"/>
    </row>
    <row r="9" spans="1:8" ht="16.149999999999999" thickTop="1">
      <c r="A9" s="172"/>
      <c r="B9" s="172"/>
      <c r="C9" s="173"/>
      <c r="D9" s="171"/>
      <c r="E9" s="8"/>
      <c r="F9" s="8"/>
      <c r="G9" s="8"/>
      <c r="H9" s="8"/>
    </row>
    <row r="10" spans="1:8" ht="15.95">
      <c r="A10" s="172" t="s">
        <v>109</v>
      </c>
      <c r="B10" s="172" t="s">
        <v>107</v>
      </c>
      <c r="C10" s="174"/>
      <c r="D10" s="171" t="s">
        <v>6</v>
      </c>
      <c r="E10" s="8"/>
      <c r="F10" s="8"/>
      <c r="G10" s="8"/>
      <c r="H10" s="8"/>
    </row>
    <row r="11" spans="1:8" ht="15.6">
      <c r="A11" s="170"/>
      <c r="B11" s="170"/>
      <c r="C11" s="174"/>
      <c r="D11" s="171"/>
      <c r="E11" s="8"/>
      <c r="F11" s="8"/>
      <c r="G11" s="8"/>
      <c r="H11" s="8"/>
    </row>
    <row r="12" spans="1:8" ht="15.6">
      <c r="A12" s="170" t="s">
        <v>110</v>
      </c>
      <c r="B12" s="170" t="s">
        <v>105</v>
      </c>
      <c r="C12" s="92"/>
      <c r="D12" s="171"/>
      <c r="E12" s="8"/>
      <c r="F12" s="8"/>
      <c r="G12" s="8"/>
      <c r="H12" s="8"/>
    </row>
    <row r="13" spans="1:8" ht="15.6">
      <c r="A13" s="170"/>
      <c r="B13" s="170"/>
      <c r="C13" s="175"/>
      <c r="D13" s="171"/>
      <c r="E13" s="8"/>
      <c r="F13" s="8"/>
      <c r="G13" s="8"/>
      <c r="H13" s="8"/>
    </row>
    <row r="14" spans="1:8" ht="15.6">
      <c r="A14" s="170"/>
      <c r="B14" s="170"/>
      <c r="C14" s="175"/>
      <c r="D14" s="171"/>
      <c r="E14" s="8"/>
      <c r="F14" s="8"/>
      <c r="G14" s="8"/>
      <c r="H14" s="8"/>
    </row>
    <row r="15" spans="1:8" ht="15">
      <c r="A15" s="176"/>
      <c r="B15" s="176"/>
      <c r="C15" s="175"/>
      <c r="D15" s="171"/>
      <c r="E15" s="8"/>
      <c r="F15" s="8"/>
      <c r="G15" s="8"/>
      <c r="H15" s="8"/>
    </row>
    <row r="16" spans="1:8" ht="15">
      <c r="A16" s="176"/>
      <c r="B16" s="176"/>
      <c r="C16" s="174"/>
      <c r="D16" s="171"/>
      <c r="E16" s="8"/>
      <c r="F16" s="8"/>
      <c r="G16" s="8"/>
      <c r="H16" s="8"/>
    </row>
    <row r="17" spans="1:8" ht="15.6">
      <c r="A17" s="177"/>
      <c r="B17" s="177"/>
      <c r="C17" s="92"/>
      <c r="D17" s="171"/>
      <c r="E17" s="8"/>
      <c r="F17" s="8"/>
      <c r="G17" s="8"/>
      <c r="H17" s="8"/>
    </row>
    <row r="18" spans="1:8" ht="15">
      <c r="A18" s="176"/>
      <c r="B18" s="176"/>
      <c r="C18" s="92"/>
      <c r="D18" s="171"/>
      <c r="E18" s="8"/>
      <c r="F18" s="8"/>
      <c r="G18" s="8"/>
      <c r="H18" s="8"/>
    </row>
    <row r="19" spans="1:8" ht="15">
      <c r="A19" s="176"/>
      <c r="B19" s="176"/>
      <c r="C19" s="92"/>
      <c r="D19" s="171"/>
      <c r="E19" s="8"/>
      <c r="F19" s="8"/>
      <c r="G19" s="8"/>
      <c r="H19" s="8"/>
    </row>
    <row r="20" spans="1:8" ht="15">
      <c r="A20" s="176"/>
      <c r="B20" s="176"/>
      <c r="C20" s="92"/>
      <c r="D20" s="171"/>
      <c r="E20" s="8"/>
      <c r="F20" s="8"/>
      <c r="G20" s="8"/>
      <c r="H20" s="8"/>
    </row>
    <row r="21" spans="1:8" ht="15.95">
      <c r="A21" s="178"/>
      <c r="B21" s="178"/>
      <c r="C21" s="92"/>
      <c r="D21" s="171"/>
      <c r="E21" s="8"/>
      <c r="F21" s="8"/>
      <c r="G21" s="8"/>
      <c r="H21" s="8"/>
    </row>
    <row r="22" spans="1:8" ht="15">
      <c r="A22" s="176"/>
      <c r="B22" s="176"/>
      <c r="C22" s="92"/>
      <c r="D22" s="171"/>
      <c r="E22" s="8"/>
      <c r="F22" s="8"/>
      <c r="G22" s="8"/>
      <c r="H22" s="8"/>
    </row>
    <row r="23" spans="1:8" ht="15">
      <c r="A23" s="176"/>
      <c r="B23" s="176"/>
      <c r="C23" s="92"/>
      <c r="D23" s="171"/>
      <c r="E23" s="8"/>
      <c r="F23" s="8"/>
      <c r="G23" s="8"/>
      <c r="H23" s="8"/>
    </row>
    <row r="24" spans="1:8" ht="15">
      <c r="A24" s="176"/>
      <c r="B24" s="176"/>
      <c r="C24" s="92"/>
      <c r="D24" s="171"/>
      <c r="E24" s="8"/>
      <c r="F24" s="8"/>
      <c r="G24" s="8"/>
      <c r="H24" s="8"/>
    </row>
    <row r="25" spans="1:8" ht="15.6">
      <c r="A25" s="179"/>
      <c r="B25" s="179"/>
      <c r="C25" s="21"/>
      <c r="D25" s="180"/>
    </row>
    <row r="26" spans="1:8" ht="15">
      <c r="A26" s="181"/>
      <c r="B26" s="181"/>
      <c r="C26" s="21"/>
      <c r="D26" s="180"/>
    </row>
    <row r="27" spans="1:8" ht="15">
      <c r="A27" s="181"/>
      <c r="B27" s="181"/>
      <c r="C27" s="21"/>
      <c r="D27" s="180"/>
    </row>
    <row r="28" spans="1:8" ht="15">
      <c r="A28" s="181"/>
      <c r="B28" s="181"/>
      <c r="C28" s="21"/>
      <c r="D28" s="180"/>
    </row>
    <row r="29" spans="1:8" ht="15.6">
      <c r="A29" s="179"/>
      <c r="B29" s="179"/>
      <c r="C29" s="21"/>
      <c r="D29" s="180"/>
    </row>
    <row r="30" spans="1:8" ht="15">
      <c r="A30" s="181"/>
      <c r="B30" s="181"/>
      <c r="C30" s="21"/>
      <c r="D30" s="180"/>
    </row>
    <row r="31" spans="1:8" ht="15">
      <c r="A31" s="181"/>
      <c r="B31" s="181"/>
      <c r="C31" s="21"/>
      <c r="D31" s="180"/>
    </row>
    <row r="32" spans="1:8" ht="15">
      <c r="A32" s="181"/>
      <c r="B32" s="181"/>
      <c r="C32" s="21"/>
      <c r="D32" s="180"/>
    </row>
    <row r="33" spans="1:4" ht="15.6">
      <c r="A33" s="179"/>
      <c r="B33" s="179"/>
      <c r="C33" s="21"/>
      <c r="D33" s="180"/>
    </row>
    <row r="34" spans="1:4" ht="15">
      <c r="A34" s="181"/>
      <c r="B34" s="181"/>
      <c r="C34" s="21"/>
      <c r="D34" s="180"/>
    </row>
    <row r="35" spans="1:4" ht="15">
      <c r="A35" s="181"/>
      <c r="B35" s="181"/>
      <c r="C35" s="21"/>
      <c r="D35" s="180"/>
    </row>
    <row r="36" spans="1:4" ht="15">
      <c r="A36" s="181"/>
      <c r="B36" s="181"/>
      <c r="C36" s="21"/>
      <c r="D36" s="180"/>
    </row>
    <row r="37" spans="1:4" ht="15.95">
      <c r="A37" s="182"/>
      <c r="B37" s="182"/>
      <c r="C37" s="21"/>
      <c r="D37" s="180"/>
    </row>
    <row r="38" spans="1:4">
      <c r="A38" s="183"/>
      <c r="B38" s="183"/>
      <c r="C38" s="21"/>
      <c r="D38" s="180"/>
    </row>
    <row r="39" spans="1:4">
      <c r="A39" s="183"/>
      <c r="B39" s="183"/>
      <c r="C39" s="21"/>
      <c r="D39" s="180"/>
    </row>
    <row r="40" spans="1:4">
      <c r="A40" s="183"/>
      <c r="B40" s="183"/>
      <c r="C40" s="21"/>
      <c r="D40" s="180"/>
    </row>
    <row r="41" spans="1:4">
      <c r="A41" s="183"/>
      <c r="B41" s="183"/>
      <c r="C41" s="21"/>
      <c r="D41" s="180"/>
    </row>
    <row r="42" spans="1:4">
      <c r="A42" s="183"/>
      <c r="B42" s="183"/>
      <c r="C42" s="21"/>
      <c r="D42" s="180"/>
    </row>
    <row r="43" spans="1:4">
      <c r="A43" s="183"/>
      <c r="B43" s="183"/>
      <c r="C43" s="21"/>
      <c r="D43" s="180"/>
    </row>
    <row r="44" spans="1:4">
      <c r="A44" s="183"/>
      <c r="B44" s="183"/>
      <c r="C44" s="21"/>
      <c r="D44" s="180"/>
    </row>
    <row r="45" spans="1:4">
      <c r="A45" s="183"/>
      <c r="B45" s="183"/>
      <c r="C45" s="21"/>
      <c r="D45" s="180"/>
    </row>
    <row r="46" spans="1:4">
      <c r="A46" s="183"/>
      <c r="B46" s="183"/>
      <c r="C46" s="21"/>
      <c r="D46" s="180"/>
    </row>
    <row r="47" spans="1:4">
      <c r="A47" s="183"/>
      <c r="B47" s="183"/>
      <c r="C47" s="21"/>
      <c r="D47" s="180"/>
    </row>
    <row r="48" spans="1:4">
      <c r="A48" s="183"/>
      <c r="B48" s="183"/>
      <c r="C48" s="21"/>
      <c r="D48" s="180"/>
    </row>
    <row r="49" spans="1:4">
      <c r="A49" s="183"/>
      <c r="B49" s="183"/>
      <c r="C49" s="21"/>
      <c r="D49" s="180"/>
    </row>
    <row r="50" spans="1:4">
      <c r="A50" s="183"/>
      <c r="B50" s="183"/>
      <c r="C50" s="21"/>
      <c r="D50" s="180"/>
    </row>
    <row r="51" spans="1:4">
      <c r="A51" s="183"/>
      <c r="B51" s="183"/>
      <c r="C51" s="21"/>
      <c r="D51" s="180"/>
    </row>
    <row r="52" spans="1:4">
      <c r="A52" s="183"/>
      <c r="B52" s="183"/>
      <c r="C52" s="21"/>
      <c r="D52" s="180"/>
    </row>
    <row r="53" spans="1:4">
      <c r="A53" s="183"/>
      <c r="B53" s="183"/>
      <c r="C53" s="21"/>
      <c r="D53" s="180"/>
    </row>
    <row r="54" spans="1:4">
      <c r="A54" s="183"/>
      <c r="B54" s="183"/>
      <c r="C54" s="21"/>
      <c r="D54" s="180"/>
    </row>
    <row r="55" spans="1:4">
      <c r="A55" s="183"/>
      <c r="B55" s="183"/>
      <c r="C55" s="21"/>
      <c r="D55" s="180"/>
    </row>
    <row r="56" spans="1:4">
      <c r="A56" s="183"/>
      <c r="B56" s="183"/>
      <c r="C56" s="21"/>
      <c r="D56" s="180"/>
    </row>
    <row r="57" spans="1:4">
      <c r="A57" s="183"/>
      <c r="B57" s="183"/>
      <c r="C57" s="21"/>
      <c r="D57" s="180"/>
    </row>
    <row r="58" spans="1:4">
      <c r="A58" s="183"/>
      <c r="B58" s="183"/>
      <c r="C58" s="21"/>
      <c r="D58" s="180"/>
    </row>
    <row r="59" spans="1:4">
      <c r="A59" s="183"/>
      <c r="B59" s="183"/>
      <c r="C59" s="21"/>
      <c r="D59" s="180"/>
    </row>
    <row r="60" spans="1:4">
      <c r="A60" s="183"/>
      <c r="B60" s="183"/>
      <c r="C60" s="21"/>
      <c r="D60" s="180"/>
    </row>
    <row r="61" spans="1:4">
      <c r="A61" s="183"/>
      <c r="B61" s="183"/>
      <c r="C61" s="21"/>
      <c r="D61" s="180"/>
    </row>
    <row r="62" spans="1:4">
      <c r="A62" s="183"/>
      <c r="B62" s="183"/>
      <c r="C62" s="21"/>
      <c r="D62" s="180"/>
    </row>
    <row r="63" spans="1:4">
      <c r="A63" s="183"/>
      <c r="B63" s="183"/>
      <c r="C63" s="21"/>
      <c r="D63" s="180"/>
    </row>
    <row r="64" spans="1:4">
      <c r="A64" s="183"/>
      <c r="B64" s="183"/>
      <c r="C64" s="21"/>
      <c r="D64" s="180"/>
    </row>
    <row r="65" spans="1:4">
      <c r="A65" s="183"/>
      <c r="B65" s="183"/>
      <c r="C65" s="21"/>
      <c r="D65" s="180"/>
    </row>
    <row r="66" spans="1:4">
      <c r="A66" s="183"/>
      <c r="B66" s="183"/>
      <c r="C66" s="21"/>
      <c r="D66" s="180"/>
    </row>
    <row r="67" spans="1:4">
      <c r="A67" s="183"/>
      <c r="B67" s="183"/>
      <c r="C67" s="21"/>
      <c r="D67" s="180"/>
    </row>
    <row r="68" spans="1:4">
      <c r="A68" s="183"/>
      <c r="B68" s="183"/>
      <c r="C68" s="21"/>
      <c r="D68" s="180"/>
    </row>
    <row r="69" spans="1:4">
      <c r="A69" s="183"/>
      <c r="B69" s="183"/>
      <c r="C69" s="21"/>
      <c r="D69" s="180"/>
    </row>
    <row r="70" spans="1:4">
      <c r="A70" s="183"/>
      <c r="B70" s="183"/>
      <c r="C70" s="21"/>
      <c r="D70" s="180"/>
    </row>
    <row r="71" spans="1:4">
      <c r="A71" s="183"/>
      <c r="B71" s="183"/>
      <c r="C71" s="21"/>
      <c r="D71" s="180"/>
    </row>
    <row r="72" spans="1:4">
      <c r="A72" s="183"/>
      <c r="B72" s="183"/>
      <c r="C72" s="21"/>
      <c r="D72" s="180"/>
    </row>
    <row r="73" spans="1:4">
      <c r="A73" s="183"/>
      <c r="B73" s="183"/>
      <c r="C73" s="21"/>
      <c r="D73" s="180"/>
    </row>
    <row r="74" spans="1:4">
      <c r="A74" s="183"/>
      <c r="B74" s="183"/>
      <c r="C74" s="21"/>
      <c r="D74" s="180"/>
    </row>
    <row r="75" spans="1:4">
      <c r="A75" s="183"/>
      <c r="B75" s="183"/>
      <c r="C75" s="21"/>
      <c r="D75" s="180"/>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45F3-8A98-4B26-B3B2-F32EF41B620C}">
  <sheetPr>
    <pageSetUpPr fitToPage="1"/>
  </sheetPr>
  <dimension ref="A1:I28"/>
  <sheetViews>
    <sheetView workbookViewId="0">
      <selection sqref="A1:H1"/>
    </sheetView>
  </sheetViews>
  <sheetFormatPr defaultColWidth="8.7109375" defaultRowHeight="14.45"/>
  <cols>
    <col min="1" max="1" width="12.28515625" style="7" customWidth="1"/>
    <col min="2" max="4" width="15.42578125" style="7" customWidth="1"/>
    <col min="5" max="5" width="15.42578125" customWidth="1"/>
    <col min="6" max="6" width="2.7109375" style="7" customWidth="1"/>
    <col min="7" max="7" width="15.42578125" customWidth="1"/>
    <col min="8" max="8" width="4.28515625" customWidth="1"/>
  </cols>
  <sheetData>
    <row r="1" spans="1:9" ht="17.100000000000001" customHeight="1" thickBot="1">
      <c r="A1" s="334" t="str">
        <f>Parameters!G3</f>
        <v>TELLER CLIENT, STATE</v>
      </c>
      <c r="B1" s="334"/>
      <c r="C1" s="334"/>
      <c r="D1" s="334"/>
      <c r="E1" s="334"/>
      <c r="F1" s="334"/>
      <c r="G1" s="334"/>
      <c r="H1" s="334"/>
    </row>
    <row r="2" spans="1:9" ht="19.5" thickBot="1">
      <c r="A2" s="336" t="s">
        <v>111</v>
      </c>
      <c r="B2" s="337"/>
      <c r="C2" s="337"/>
      <c r="D2" s="337"/>
      <c r="E2" s="337"/>
      <c r="F2" s="337"/>
      <c r="G2" s="364"/>
      <c r="H2" s="365"/>
    </row>
    <row r="4" spans="1:9" ht="33" customHeight="1">
      <c r="A4" s="62" t="s">
        <v>112</v>
      </c>
      <c r="B4" s="63" t="s">
        <v>113</v>
      </c>
      <c r="C4" s="63" t="s">
        <v>114</v>
      </c>
      <c r="D4" s="63" t="s">
        <v>115</v>
      </c>
      <c r="E4" s="63" t="s">
        <v>116</v>
      </c>
      <c r="F4" s="64" t="s">
        <v>6</v>
      </c>
      <c r="G4" s="65" t="s">
        <v>117</v>
      </c>
      <c r="H4" s="65"/>
      <c r="I4" s="1"/>
    </row>
    <row r="5" spans="1:9" ht="18.399999999999999">
      <c r="A5" s="29"/>
      <c r="B5" s="11"/>
      <c r="C5" s="11"/>
      <c r="D5" s="11"/>
      <c r="E5" s="11"/>
      <c r="F5" s="12"/>
      <c r="G5" s="11"/>
      <c r="H5" s="27"/>
    </row>
    <row r="6" spans="1:9">
      <c r="A6" s="66">
        <v>1</v>
      </c>
      <c r="B6" s="67">
        <f>SUM('Service Costs'!$D49+'Service Costs'!$H49+'Service Costs'!$L32+'Service Costs'!$L8+'Service Costs'!$L34)</f>
        <v>153180</v>
      </c>
      <c r="C6" s="67">
        <f>'Travel Costs'!$N13</f>
        <v>11370</v>
      </c>
      <c r="D6" s="67">
        <f>'Equipment Breakdown'!$F22</f>
        <v>0</v>
      </c>
      <c r="E6" s="67">
        <f>'Saas Costs'!$C60</f>
        <v>86094</v>
      </c>
      <c r="F6" s="68"/>
      <c r="G6" s="69">
        <f>SUM(B6+C6+D6+E6)</f>
        <v>250644</v>
      </c>
      <c r="H6" s="70"/>
      <c r="I6" s="3"/>
    </row>
    <row r="7" spans="1:9">
      <c r="A7" s="30">
        <v>2</v>
      </c>
      <c r="B7" s="28">
        <v>0</v>
      </c>
      <c r="C7" s="28">
        <v>0</v>
      </c>
      <c r="D7" s="28">
        <v>0</v>
      </c>
      <c r="E7" s="28">
        <f>E6*'Variables-Software'!$C61</f>
        <v>89537.760000000009</v>
      </c>
      <c r="F7" s="19"/>
      <c r="G7" s="20">
        <f>SUM(B7+C7+D7+E7)</f>
        <v>89537.760000000009</v>
      </c>
      <c r="H7" s="27"/>
    </row>
    <row r="8" spans="1:9">
      <c r="A8" s="66">
        <v>3</v>
      </c>
      <c r="B8" s="67">
        <v>0</v>
      </c>
      <c r="C8" s="67">
        <v>0</v>
      </c>
      <c r="D8" s="67">
        <v>0</v>
      </c>
      <c r="E8" s="67">
        <f>E7*'Variables-Software'!$C62</f>
        <v>93119.270400000009</v>
      </c>
      <c r="F8" s="68"/>
      <c r="G8" s="69">
        <f>SUM(B8+C8+D8+E8)</f>
        <v>93119.270400000009</v>
      </c>
      <c r="H8" s="70"/>
      <c r="I8" s="3"/>
    </row>
    <row r="9" spans="1:9">
      <c r="A9" s="30">
        <v>4</v>
      </c>
      <c r="B9" s="28">
        <v>0</v>
      </c>
      <c r="C9" s="28">
        <v>0</v>
      </c>
      <c r="D9" s="28">
        <v>0</v>
      </c>
      <c r="E9" s="28">
        <f>E8*'Variables-Software'!$C63</f>
        <v>96844.041216000012</v>
      </c>
      <c r="F9" s="19"/>
      <c r="G9" s="20">
        <f>SUM(B9+C9+D9+E9)</f>
        <v>96844.041216000012</v>
      </c>
      <c r="H9" s="10"/>
    </row>
    <row r="10" spans="1:9" ht="14.65" thickBot="1">
      <c r="A10" s="66">
        <v>5</v>
      </c>
      <c r="B10" s="67">
        <v>0</v>
      </c>
      <c r="C10" s="67">
        <v>0</v>
      </c>
      <c r="D10" s="67">
        <v>0</v>
      </c>
      <c r="E10" s="67">
        <f>E9*'Variables-Software'!$C64</f>
        <v>100717.80286464002</v>
      </c>
      <c r="F10" s="68"/>
      <c r="G10" s="69">
        <f>SUM(B10+C10+D10+E10)</f>
        <v>100717.80286464002</v>
      </c>
      <c r="H10" s="71"/>
    </row>
    <row r="11" spans="1:9" ht="14.65" thickBot="1">
      <c r="A11" s="72" t="s">
        <v>118</v>
      </c>
      <c r="B11" s="73">
        <f>SUM(B6:B10)</f>
        <v>153180</v>
      </c>
      <c r="C11" s="73">
        <f>SUM(C6:C10)</f>
        <v>11370</v>
      </c>
      <c r="D11" s="73">
        <f>SUM(D6:D10)</f>
        <v>0</v>
      </c>
      <c r="E11" s="73">
        <f>SUM(E6:E10)</f>
        <v>466312.87448064005</v>
      </c>
      <c r="F11" s="74"/>
      <c r="G11" s="73">
        <f>SUM(G6:G10)</f>
        <v>630862.87448064005</v>
      </c>
      <c r="H11" s="75"/>
    </row>
    <row r="12" spans="1:9" ht="14.65" thickBot="1">
      <c r="A12" s="338" t="s">
        <v>119</v>
      </c>
      <c r="B12" s="339"/>
      <c r="C12" s="339"/>
      <c r="D12" s="339"/>
      <c r="E12" s="339"/>
      <c r="F12" s="339"/>
      <c r="G12" s="339"/>
      <c r="H12" s="340"/>
    </row>
    <row r="13" spans="1:9">
      <c r="A13" s="30">
        <v>6</v>
      </c>
      <c r="B13" s="28">
        <v>0</v>
      </c>
      <c r="C13" s="28">
        <v>0</v>
      </c>
      <c r="D13" s="28">
        <v>0</v>
      </c>
      <c r="E13" s="67">
        <f>E10*'Variables-Software'!$C65</f>
        <v>104746.51497922563</v>
      </c>
      <c r="F13" s="19"/>
      <c r="G13" s="20">
        <f>SUM(B13+C13+D13+E13)</f>
        <v>104746.51497922563</v>
      </c>
      <c r="H13" s="10"/>
    </row>
    <row r="14" spans="1:9">
      <c r="A14" s="30">
        <v>7</v>
      </c>
      <c r="B14" s="28">
        <v>0</v>
      </c>
      <c r="C14" s="28">
        <v>0</v>
      </c>
      <c r="D14" s="28">
        <v>0</v>
      </c>
      <c r="E14" s="67">
        <f>E13*'Variables-Software'!$C66</f>
        <v>108936.37557839465</v>
      </c>
      <c r="F14" s="19"/>
      <c r="G14" s="20">
        <f>SUM(B14+C14+D14+E14)</f>
        <v>108936.37557839465</v>
      </c>
      <c r="H14" s="10"/>
    </row>
    <row r="15" spans="1:9">
      <c r="A15" s="30">
        <v>8</v>
      </c>
      <c r="B15" s="28">
        <v>0</v>
      </c>
      <c r="C15" s="28">
        <v>0</v>
      </c>
      <c r="D15" s="28">
        <v>0</v>
      </c>
      <c r="E15" s="67">
        <f>E14*'Variables-Software'!$C67</f>
        <v>113293.83060153044</v>
      </c>
      <c r="F15" s="19"/>
      <c r="G15" s="20">
        <f>SUM(B15+C15+D15+E15)</f>
        <v>113293.83060153044</v>
      </c>
      <c r="H15" s="10"/>
    </row>
    <row r="16" spans="1:9">
      <c r="A16" s="30">
        <v>9</v>
      </c>
      <c r="B16" s="28">
        <v>0</v>
      </c>
      <c r="C16" s="28">
        <v>0</v>
      </c>
      <c r="D16" s="28">
        <v>0</v>
      </c>
      <c r="E16" s="67">
        <f>E15*'Variables-Software'!$C68</f>
        <v>117825.58382559166</v>
      </c>
      <c r="F16" s="19"/>
      <c r="G16" s="20">
        <f>SUM(B16+C16+D16+E16)</f>
        <v>117825.58382559166</v>
      </c>
      <c r="H16" s="10"/>
    </row>
    <row r="17" spans="1:8" ht="29.1" customHeight="1" thickBot="1">
      <c r="A17" s="30">
        <v>10</v>
      </c>
      <c r="B17" s="28">
        <v>0</v>
      </c>
      <c r="C17" s="28">
        <v>0</v>
      </c>
      <c r="D17" s="28">
        <v>0</v>
      </c>
      <c r="E17" s="67">
        <f>E16*'Variables-Software'!$C69</f>
        <v>122538.60717861533</v>
      </c>
      <c r="F17" s="19"/>
      <c r="G17" s="20">
        <f>SUM(B17+C17+D17+E17)</f>
        <v>122538.60717861533</v>
      </c>
      <c r="H17" s="10"/>
    </row>
    <row r="18" spans="1:8" ht="29.1" thickBot="1">
      <c r="A18" s="38" t="s">
        <v>120</v>
      </c>
      <c r="B18" s="26" t="s">
        <v>6</v>
      </c>
      <c r="C18" s="26" t="s">
        <v>6</v>
      </c>
      <c r="D18" s="26" t="s">
        <v>6</v>
      </c>
      <c r="E18" s="26">
        <f>SUM(E11:E17)</f>
        <v>1033653.7866439976</v>
      </c>
      <c r="F18" s="24"/>
      <c r="G18" s="23">
        <f>SUM(G11:G17)</f>
        <v>1198203.7866439978</v>
      </c>
      <c r="H18" s="22"/>
    </row>
    <row r="19" spans="1:8" ht="14.65" thickBot="1">
      <c r="A19" s="341" t="s">
        <v>119</v>
      </c>
      <c r="B19" s="342"/>
      <c r="C19" s="342"/>
      <c r="D19" s="342"/>
      <c r="E19" s="342"/>
      <c r="F19" s="342"/>
      <c r="G19" s="342"/>
      <c r="H19" s="343"/>
    </row>
    <row r="21" spans="1:8" ht="15" customHeight="1">
      <c r="E21" s="77">
        <f>SUM(E6:E17)-E11</f>
        <v>1033653.7866439978</v>
      </c>
    </row>
    <row r="23" spans="1:8">
      <c r="A23" s="335" t="s">
        <v>121</v>
      </c>
      <c r="B23" s="335"/>
      <c r="C23" s="335"/>
      <c r="D23" s="335"/>
    </row>
    <row r="26" spans="1:8" ht="30" customHeight="1"/>
    <row r="28" spans="1:8" ht="30" customHeight="1"/>
  </sheetData>
  <mergeCells count="5">
    <mergeCell ref="A1:H1"/>
    <mergeCell ref="A23:D23"/>
    <mergeCell ref="A2:H2"/>
    <mergeCell ref="A12:H12"/>
    <mergeCell ref="A19:H19"/>
  </mergeCells>
  <printOptions gridLines="1"/>
  <pageMargins left="0.7" right="0.7" top="0.75" bottom="0.75" header="0.3" footer="0.3"/>
  <pageSetup scale="72"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C8DD-4915-4243-8388-409E80785300}">
  <sheetPr>
    <pageSetUpPr fitToPage="1"/>
  </sheetPr>
  <dimension ref="A1:E109"/>
  <sheetViews>
    <sheetView tabSelected="1" topLeftCell="A4" workbookViewId="0">
      <selection activeCell="C11" sqref="C11"/>
    </sheetView>
  </sheetViews>
  <sheetFormatPr defaultColWidth="8.7109375" defaultRowHeight="14.45"/>
  <cols>
    <col min="1" max="1" width="36.140625" customWidth="1"/>
    <col min="2" max="2" width="12.28515625" style="78" customWidth="1"/>
    <col min="3" max="3" width="12.28515625" style="7" customWidth="1"/>
    <col min="4" max="4" width="1.7109375" style="7" customWidth="1"/>
    <col min="5" max="5" width="36.140625" customWidth="1"/>
  </cols>
  <sheetData>
    <row r="1" spans="1:5" ht="14.65" thickBot="1">
      <c r="A1" s="344" t="str">
        <f>"SaaS Calculations - "&amp;Parameters!G3</f>
        <v>SaaS Calculations - TELLER CLIENT, STATE</v>
      </c>
      <c r="B1" s="345"/>
      <c r="C1" s="345"/>
      <c r="D1" s="345"/>
      <c r="E1" s="366"/>
    </row>
    <row r="2" spans="1:5" ht="15" thickTop="1" thickBot="1">
      <c r="A2" s="367"/>
      <c r="B2" s="367"/>
      <c r="C2" s="367"/>
      <c r="D2" s="367"/>
    </row>
    <row r="3" spans="1:5" ht="30.6" customHeight="1" thickTop="1" thickBot="1">
      <c r="A3" s="160" t="s">
        <v>6</v>
      </c>
      <c r="B3" s="235" t="s">
        <v>122</v>
      </c>
      <c r="C3" s="236" t="s">
        <v>123</v>
      </c>
      <c r="D3" s="237"/>
      <c r="E3" s="236" t="s">
        <v>2</v>
      </c>
    </row>
    <row r="4" spans="1:5" ht="18.95" thickTop="1" thickBot="1">
      <c r="A4" s="158"/>
      <c r="B4" s="184"/>
      <c r="C4" s="185"/>
      <c r="D4" s="199"/>
      <c r="E4" s="186"/>
    </row>
    <row r="5" spans="1:5" ht="15" thickTop="1" thickBot="1">
      <c r="A5" s="157" t="s">
        <v>124</v>
      </c>
      <c r="B5" s="346" t="s">
        <v>125</v>
      </c>
      <c r="C5" s="347"/>
      <c r="D5" s="195"/>
      <c r="E5" s="157" t="s">
        <v>6</v>
      </c>
    </row>
    <row r="6" spans="1:5" ht="14.65" thickTop="1">
      <c r="A6" s="17" t="s">
        <v>126</v>
      </c>
      <c r="B6" s="240">
        <f>IF(Parameters_Edition="S",'Variables-Software'!$C3,'Variables-Software'!C4)</f>
        <v>2950</v>
      </c>
      <c r="C6" s="241">
        <f t="shared" ref="C6:C20" si="0">B6</f>
        <v>2950</v>
      </c>
      <c r="D6" s="196"/>
      <c r="E6" s="188" t="s">
        <v>6</v>
      </c>
    </row>
    <row r="7" spans="1:5">
      <c r="A7" s="17" t="s">
        <v>127</v>
      </c>
      <c r="B7" s="240">
        <f>IF(OR(Parameters_AdditionalUsers&lt;1,Parameters_NamedOrConcurrent&lt;&gt;"N"),0,IF(Parameters_AdditionalUsers&lt;45,('Variables-Software'!$C5*Parameters_AdditionalUsers),('Variables-Software'!$C6*Parameters_AdditionalUsers)))</f>
        <v>60</v>
      </c>
      <c r="C7" s="241">
        <f t="shared" si="0"/>
        <v>60</v>
      </c>
      <c r="D7" s="197"/>
      <c r="E7" s="140" t="s">
        <v>128</v>
      </c>
    </row>
    <row r="8" spans="1:5">
      <c r="A8" s="17" t="s">
        <v>129</v>
      </c>
      <c r="B8" s="240">
        <f>IF(OR(Parameters_AdditionalUsers&lt;1,Parameters_NamedOrConcurrent="N"),0,IF(Parameters_AdditionalUsers&lt;45,('Variables-Software'!$C5*Parameters_AdditionalUsers),('Variables-Software'!$C6*Parameters_AdditionalUsers)) * 3)</f>
        <v>0</v>
      </c>
      <c r="C8" s="241">
        <f t="shared" si="0"/>
        <v>0</v>
      </c>
      <c r="D8" s="197"/>
      <c r="E8" s="140" t="s">
        <v>130</v>
      </c>
    </row>
    <row r="9" spans="1:5">
      <c r="A9" s="17" t="s">
        <v>6</v>
      </c>
      <c r="B9" s="239" t="s">
        <v>6</v>
      </c>
      <c r="C9" s="241" t="str">
        <f t="shared" si="0"/>
        <v xml:space="preserve"> </v>
      </c>
      <c r="D9" s="197"/>
      <c r="E9" s="140" t="s">
        <v>6</v>
      </c>
    </row>
    <row r="10" spans="1:5">
      <c r="A10" s="243" t="s">
        <v>24</v>
      </c>
      <c r="B10" s="239" t="s">
        <v>6</v>
      </c>
      <c r="C10" s="241" t="str">
        <f t="shared" si="0"/>
        <v xml:space="preserve"> </v>
      </c>
      <c r="D10" s="197"/>
      <c r="E10" s="140" t="s">
        <v>6</v>
      </c>
    </row>
    <row r="11" spans="1:5">
      <c r="A11" s="8" t="str">
        <f>IF(Parameters_CheckRecognition_Active="Y",Parameters!A13,"")</f>
        <v xml:space="preserve">         Check Recognition/Bulk Scanning</v>
      </c>
      <c r="B11" s="239">
        <f>IF(Parameters_CheckRecognition_Active="Y",((LOOKUP(Parameters_CheckRecognition_Scans,'Variables-Software'!$B9:B16, 'Variables-Software'!$C9:C16))),0)</f>
        <v>1030</v>
      </c>
      <c r="C11" s="241">
        <f t="shared" si="0"/>
        <v>1030</v>
      </c>
      <c r="D11" s="197"/>
      <c r="E11" s="188"/>
    </row>
    <row r="12" spans="1:5">
      <c r="A12" s="8" t="str">
        <f>IF(Parameters_CheckValidation_Active="Y",Parameters!A14,"")</f>
        <v/>
      </c>
      <c r="B12" s="239">
        <f>IF(Parameters_CheckValidation_Active="Y", B11, 0)</f>
        <v>0</v>
      </c>
      <c r="C12" s="241">
        <f t="shared" si="0"/>
        <v>0</v>
      </c>
      <c r="D12" s="197"/>
      <c r="E12" s="188"/>
    </row>
    <row r="13" spans="1:5">
      <c r="A13" s="8" t="str">
        <f>IF(Parameters_ImageCashLetter_Active="Y",Parameters!A15,"")</f>
        <v xml:space="preserve">         Image Cash Letter</v>
      </c>
      <c r="B13" s="239">
        <f>IF(Parameters_ImageCashLetter_Active="Y",MAX(C11 * Software_ImageCashLetter_PercentPricing, Software_ImageCashLetter_Minimum), 0)</f>
        <v>669.5</v>
      </c>
      <c r="C13" s="241">
        <f t="shared" si="0"/>
        <v>669.5</v>
      </c>
      <c r="D13" s="197"/>
      <c r="E13" s="140"/>
    </row>
    <row r="14" spans="1:5">
      <c r="A14" s="8" t="str">
        <f>IF(Parameters_RevenueSubmission_Active="Y",Parameters!A16,"")</f>
        <v xml:space="preserve">         Revenue Submission</v>
      </c>
      <c r="B14" s="239">
        <f>IF(Parameters_RevenueSubmission_Active="Y",((LOOKUP(Parameters_RevenueSubmission_Submitters,'Variables-Software'!$B21:B24, 'Variables-Software'!$C21:C24))),0)</f>
        <v>570</v>
      </c>
      <c r="C14" s="241">
        <f t="shared" ref="C14" si="1">B14</f>
        <v>570</v>
      </c>
      <c r="D14" s="197"/>
      <c r="E14" s="140"/>
    </row>
    <row r="15" spans="1:5">
      <c r="A15" s="8" t="str">
        <f>IF(Parameters_WorkflowSubmission_Active="Y",Parameters!A17,"")</f>
        <v/>
      </c>
      <c r="B15" s="239">
        <f>IF(Parameters_WorkflowSubmission_Active="Y",((LOOKUP(Parameters_WorkflowSubmission_Workflows,'Variables-Software'!$B26:B30, 'Variables-Software'!$C26:C30))),0)</f>
        <v>0</v>
      </c>
      <c r="C15" s="241">
        <f t="shared" si="0"/>
        <v>0</v>
      </c>
      <c r="D15" s="197"/>
      <c r="E15" s="140"/>
    </row>
    <row r="16" spans="1:5">
      <c r="A16" s="8" t="str">
        <f>IF(Parameters_TellerOnline_Active="Y",Parameters!A18,"")</f>
        <v xml:space="preserve">         Online Customer Portal</v>
      </c>
      <c r="B16" s="239">
        <f>IF(Parameters_TellerOnline_Active="Y",((LOOKUP(Parameters_TellerOnline_Volume,'Variables-Software'!$B32:B44, 'Variables-Software'!$C32:C44)))+(Software_OnlineInterface*Parameters_TellerOnline_Interfaces),0)</f>
        <v>700</v>
      </c>
      <c r="C16" s="241">
        <f t="shared" si="0"/>
        <v>700</v>
      </c>
      <c r="D16" s="197"/>
      <c r="E16" s="140"/>
    </row>
    <row r="17" spans="1:5">
      <c r="A17" s="8" t="str">
        <f>IF(Parameters_OnlineFormCount &gt; 0, "         Online Forms", "")</f>
        <v/>
      </c>
      <c r="B17" s="239">
        <f>IF(Parameters_OnlineFormCount&gt;0,LOOKUP(Parameters_OnlineFormCount,'Variables-Software'!B47:B52,'Variables-Software'!C47:C52), 0)</f>
        <v>0</v>
      </c>
      <c r="C17" s="241">
        <f>B17</f>
        <v>0</v>
      </c>
      <c r="D17" s="197"/>
      <c r="E17" s="281"/>
    </row>
    <row r="18" spans="1:5">
      <c r="A18" s="8" t="str">
        <f>IF(Parameters_OnlineFormWithWorkflowCount &gt; 0, "         Online Forms with Workflow", "")</f>
        <v/>
      </c>
      <c r="B18" s="239">
        <f>IF(Parameters_OnlineFormWithWorkflowCount&gt;0,LOOKUP(Parameters_OnlineFormWithWorkflowCount,'Variables-Software'!B47:B52,'Variables-Software'!C47:C52) * 2, 0)</f>
        <v>0</v>
      </c>
      <c r="C18" s="241">
        <f>B18</f>
        <v>0</v>
      </c>
      <c r="D18" s="197"/>
      <c r="E18" s="281"/>
    </row>
    <row r="19" spans="1:5">
      <c r="A19" s="8"/>
      <c r="B19" s="239"/>
      <c r="C19" s="241"/>
      <c r="D19" s="197"/>
      <c r="E19" s="34"/>
    </row>
    <row r="20" spans="1:5">
      <c r="A20" s="8" t="str">
        <f>IF(Parameters!B24="Y", Parameters!A24&amp;" - "&amp;Parameters!G24, "")</f>
        <v xml:space="preserve">         Financials A/R - ????</v>
      </c>
      <c r="B20" s="240">
        <f>IF(Parameters!B24="Y",Software_BiDirectional,0)</f>
        <v>285</v>
      </c>
      <c r="C20" s="241">
        <f t="shared" si="0"/>
        <v>285</v>
      </c>
      <c r="D20" s="197"/>
      <c r="E20" s="32"/>
    </row>
    <row r="21" spans="1:5">
      <c r="A21" s="8" t="str">
        <f>IF(Parameters!B25="Y", Parameters!A25&amp;" - "&amp;Parameters!G25, "")</f>
        <v xml:space="preserve">         Bi-Directional -  - ????</v>
      </c>
      <c r="B21" s="240">
        <f>IF(Parameters!B25="Y",Software_BiDirectional,0)</f>
        <v>285</v>
      </c>
      <c r="C21" s="241">
        <f t="shared" ref="C21" si="2">B21</f>
        <v>285</v>
      </c>
      <c r="D21" s="197"/>
      <c r="E21" s="32"/>
    </row>
    <row r="22" spans="1:5">
      <c r="A22" s="8" t="str">
        <f>IF(Parameters!B26="Y", Parameters!A26&amp;" - "&amp;Parameters!G26, "")</f>
        <v xml:space="preserve">         Bi-Directional -  - ????</v>
      </c>
      <c r="B22" s="240">
        <f>IF(Parameters!B26="Y",Software_BiDirectional,0)</f>
        <v>285</v>
      </c>
      <c r="C22" s="241">
        <f t="shared" ref="C22:C35" si="3">B22</f>
        <v>285</v>
      </c>
      <c r="D22" s="197"/>
      <c r="E22" s="140"/>
    </row>
    <row r="23" spans="1:5">
      <c r="A23" s="8" t="str">
        <f>IF(Parameters!B27="Y", Parameters!A27&amp;" - "&amp;Parameters!G27, "")</f>
        <v/>
      </c>
      <c r="B23" s="240">
        <f>IF(Parameters!B27="Y",Software_BiDirectional,0)</f>
        <v>0</v>
      </c>
      <c r="C23" s="241">
        <f t="shared" si="3"/>
        <v>0</v>
      </c>
      <c r="D23" s="197"/>
      <c r="E23" s="140"/>
    </row>
    <row r="24" spans="1:5">
      <c r="A24" s="8" t="str">
        <f>IF(Parameters!B28="Y", Parameters!A28&amp;" - "&amp;Parameters!G28, "")</f>
        <v/>
      </c>
      <c r="B24" s="240">
        <f>IF(Parameters!B28="Y",Software_BiDirectional,0)</f>
        <v>0</v>
      </c>
      <c r="C24" s="241">
        <f t="shared" si="3"/>
        <v>0</v>
      </c>
      <c r="D24" s="197"/>
      <c r="E24" s="140"/>
    </row>
    <row r="25" spans="1:5">
      <c r="A25" s="8" t="str">
        <f>IF(Parameters!B29="Y", Parameters!A29&amp;" - "&amp;Parameters!G29, "")</f>
        <v/>
      </c>
      <c r="B25" s="240">
        <f>IF(Parameters!B29="Y",Software_BiDirectional,0)</f>
        <v>0</v>
      </c>
      <c r="C25" s="241">
        <f t="shared" si="3"/>
        <v>0</v>
      </c>
      <c r="D25" s="197"/>
      <c r="E25" s="140"/>
    </row>
    <row r="26" spans="1:5">
      <c r="A26" s="8" t="str">
        <f>IF(Parameters!B30="Y", Parameters!A30&amp;" - "&amp;Parameters!G30, "")</f>
        <v/>
      </c>
      <c r="B26" s="240">
        <f>IF(Parameters!B30="Y",Software_BiDirectional,0)</f>
        <v>0</v>
      </c>
      <c r="C26" s="241">
        <f t="shared" si="3"/>
        <v>0</v>
      </c>
      <c r="D26" s="197"/>
      <c r="E26" s="140"/>
    </row>
    <row r="27" spans="1:5">
      <c r="A27" s="8" t="str">
        <f>IF(Parameters!B31="Y", Parameters!A31&amp;" - "&amp;Parameters!G31, "")</f>
        <v/>
      </c>
      <c r="B27" s="240">
        <f>IF(Parameters!B31="Y",Software_BiDirectional,0)</f>
        <v>0</v>
      </c>
      <c r="C27" s="241">
        <f t="shared" si="3"/>
        <v>0</v>
      </c>
      <c r="D27" s="197"/>
      <c r="E27" s="140"/>
    </row>
    <row r="28" spans="1:5">
      <c r="A28" s="8" t="str">
        <f>IF(Parameters!B32="Y", Parameters!A32&amp;" - "&amp;Parameters!G32, "")</f>
        <v/>
      </c>
      <c r="B28" s="240">
        <f>IF(Parameters!B32="Y",Software_BiDirectional,0)</f>
        <v>0</v>
      </c>
      <c r="C28" s="241">
        <f t="shared" si="3"/>
        <v>0</v>
      </c>
      <c r="D28" s="197"/>
      <c r="E28" s="140"/>
    </row>
    <row r="29" spans="1:5">
      <c r="A29" s="8" t="str">
        <f>IF(Parameters!B33="Y", Parameters!A33&amp;" - "&amp;Parameters!G33, "")</f>
        <v/>
      </c>
      <c r="B29" s="240">
        <f>IF(Parameters!B33="Y",Software_BiDirectional,0)</f>
        <v>0</v>
      </c>
      <c r="C29" s="241">
        <f t="shared" si="3"/>
        <v>0</v>
      </c>
      <c r="D29" s="197"/>
      <c r="E29" s="140"/>
    </row>
    <row r="30" spans="1:5">
      <c r="A30" s="8" t="str">
        <f>IF(Parameters!B34="Y", Parameters!A34&amp;" - "&amp;Parameters!G34, "")</f>
        <v/>
      </c>
      <c r="B30" s="240">
        <f>IF(Parameters!B34="Y",Software_BiDirectional,0)</f>
        <v>0</v>
      </c>
      <c r="C30" s="241">
        <f t="shared" si="3"/>
        <v>0</v>
      </c>
      <c r="D30" s="197"/>
      <c r="E30" s="140"/>
    </row>
    <row r="31" spans="1:5">
      <c r="A31" s="8" t="str">
        <f>IF(Parameters!B35="Y", Parameters!A35&amp;" - "&amp;Parameters!G35, "")</f>
        <v/>
      </c>
      <c r="B31" s="240">
        <f>IF(Parameters!B35="Y",Software_BiDirectional,0)</f>
        <v>0</v>
      </c>
      <c r="C31" s="241">
        <f t="shared" si="3"/>
        <v>0</v>
      </c>
      <c r="D31" s="197"/>
      <c r="E31" s="140"/>
    </row>
    <row r="32" spans="1:5">
      <c r="A32" s="8" t="str">
        <f>IF(Parameters!B36="Y", Parameters!A36&amp;" - "&amp;Parameters!G36, "")</f>
        <v/>
      </c>
      <c r="B32" s="240">
        <f>IF(Parameters!B36="Y",Software_BiDirectional,0)</f>
        <v>0</v>
      </c>
      <c r="C32" s="241">
        <f t="shared" si="3"/>
        <v>0</v>
      </c>
      <c r="D32" s="197"/>
      <c r="E32" s="140"/>
    </row>
    <row r="33" spans="1:5">
      <c r="A33" s="8" t="str">
        <f>IF(Parameters!B37="Y", Parameters!A37&amp;" - "&amp;Parameters!G37, "")</f>
        <v/>
      </c>
      <c r="B33" s="240">
        <f>IF(Parameters!B37="Y",Software_BiDirectional,0)</f>
        <v>0</v>
      </c>
      <c r="C33" s="241">
        <f t="shared" si="3"/>
        <v>0</v>
      </c>
      <c r="D33" s="197"/>
      <c r="E33" s="140"/>
    </row>
    <row r="34" spans="1:5">
      <c r="A34" s="8" t="str">
        <f>IF(Parameters!B38="Y", Parameters!A38&amp;" - "&amp;Parameters!G38, "")</f>
        <v/>
      </c>
      <c r="B34" s="240">
        <f>IF(Parameters!B38="Y",Software_BiDirectional,0)</f>
        <v>0</v>
      </c>
      <c r="C34" s="241">
        <f t="shared" si="3"/>
        <v>0</v>
      </c>
      <c r="D34" s="197"/>
      <c r="E34" s="140"/>
    </row>
    <row r="35" spans="1:5">
      <c r="A35" s="8" t="str">
        <f>IF(Parameters!B39="Y", Parameters!A39&amp;" - "&amp;Parameters!G39, "")</f>
        <v/>
      </c>
      <c r="B35" s="240">
        <f>IF(Parameters!B39="Y",Software_BiDirectional,0)</f>
        <v>0</v>
      </c>
      <c r="C35" s="241">
        <f t="shared" si="3"/>
        <v>0</v>
      </c>
      <c r="D35" s="197"/>
      <c r="E35" s="140"/>
    </row>
    <row r="36" spans="1:5">
      <c r="A36" s="8"/>
      <c r="B36" s="240"/>
      <c r="C36" s="241"/>
      <c r="D36" s="197"/>
      <c r="E36" s="140"/>
    </row>
    <row r="37" spans="1:5">
      <c r="A37" s="8" t="str">
        <f>IF(Parameters!B45="Y", Parameters!A45&amp;Parameters!G45, "")</f>
        <v xml:space="preserve">         Payment Import - ????</v>
      </c>
      <c r="B37" s="240">
        <f>IF(Parameters!B45="Y",Software_PaymentImport,0)</f>
        <v>170</v>
      </c>
      <c r="C37" s="241">
        <f>B37</f>
        <v>170</v>
      </c>
      <c r="D37" s="197"/>
      <c r="E37" s="140"/>
    </row>
    <row r="38" spans="1:5">
      <c r="A38" s="8" t="str">
        <f>IF(Parameters!B46="Y", Parameters!A46&amp;Parameters!G46, "")</f>
        <v xml:space="preserve">         Payment Import - ????</v>
      </c>
      <c r="B38" s="240">
        <f>IF(Parameters!B46="Y",Software_PaymentImport,0)</f>
        <v>170</v>
      </c>
      <c r="C38" s="241">
        <f>B38</f>
        <v>170</v>
      </c>
      <c r="D38" s="197"/>
      <c r="E38" s="140"/>
    </row>
    <row r="39" spans="1:5">
      <c r="A39" s="8" t="str">
        <f>IF(Parameters!B47="Y", Parameters!A47&amp;Parameters!G47, "")</f>
        <v/>
      </c>
      <c r="B39" s="240">
        <f>IF(Parameters!B47="Y",Software_PaymentImport,0)</f>
        <v>0</v>
      </c>
      <c r="C39" s="241">
        <f>B39</f>
        <v>0</v>
      </c>
      <c r="D39" s="197"/>
      <c r="E39" s="140"/>
    </row>
    <row r="40" spans="1:5">
      <c r="A40" s="8" t="str">
        <f>IF(Parameters!B48="Y", Parameters!A48&amp;Parameters!G48, "")</f>
        <v/>
      </c>
      <c r="B40" s="240">
        <f>IF(Parameters!B48="Y",Software_PaymentImport,0)</f>
        <v>0</v>
      </c>
      <c r="C40" s="242">
        <f t="shared" ref="C40:C57" si="4">B40</f>
        <v>0</v>
      </c>
      <c r="D40" s="197"/>
      <c r="E40" s="140"/>
    </row>
    <row r="41" spans="1:5">
      <c r="A41" s="8" t="str">
        <f>IF(Parameters!B49="Y", Parameters!A49&amp;Parameters!G49, "")</f>
        <v/>
      </c>
      <c r="B41" s="240">
        <f>IF(Parameters!B49="Y",Software_PaymentImport,0)</f>
        <v>0</v>
      </c>
      <c r="C41" s="242">
        <f t="shared" si="4"/>
        <v>0</v>
      </c>
      <c r="D41" s="197"/>
      <c r="E41" s="140"/>
    </row>
    <row r="42" spans="1:5">
      <c r="A42" s="8" t="str">
        <f>IF(Parameters!B50="Y", Parameters!A50&amp;Parameters!G50, "")</f>
        <v/>
      </c>
      <c r="B42" s="240">
        <f>IF(Parameters!B50="Y",Software_PaymentImport,0)</f>
        <v>0</v>
      </c>
      <c r="C42" s="242">
        <f t="shared" si="4"/>
        <v>0</v>
      </c>
      <c r="D42" s="197"/>
      <c r="E42" s="140"/>
    </row>
    <row r="43" spans="1:5">
      <c r="A43" s="8" t="str">
        <f>IF(Parameters!B51="Y", Parameters!A51&amp;Parameters!G51, "")</f>
        <v/>
      </c>
      <c r="B43" s="240">
        <f>IF(Parameters!B51="Y",Software_PaymentImport,0)</f>
        <v>0</v>
      </c>
      <c r="C43" s="241">
        <f>B43</f>
        <v>0</v>
      </c>
      <c r="D43" s="197"/>
      <c r="E43" s="140"/>
    </row>
    <row r="44" spans="1:5">
      <c r="A44" s="8" t="str">
        <f>IF(Parameters!B52="Y", Parameters!A52&amp;Parameters!G52, "")</f>
        <v/>
      </c>
      <c r="B44" s="240">
        <f>IF(Parameters!B52="Y",Software_PaymentImport,0)</f>
        <v>0</v>
      </c>
      <c r="C44" s="242">
        <f t="shared" ref="C44:C47" si="5">B44</f>
        <v>0</v>
      </c>
      <c r="D44" s="197"/>
      <c r="E44" s="140"/>
    </row>
    <row r="45" spans="1:5">
      <c r="A45" s="8" t="str">
        <f>IF(Parameters!B53="Y", Parameters!A53&amp;Parameters!G53, "")</f>
        <v/>
      </c>
      <c r="B45" s="240">
        <f>IF(Parameters!B53="Y",Software_PaymentImport,0)</f>
        <v>0</v>
      </c>
      <c r="C45" s="242">
        <f t="shared" si="5"/>
        <v>0</v>
      </c>
      <c r="D45" s="197"/>
      <c r="E45" s="140"/>
    </row>
    <row r="46" spans="1:5">
      <c r="A46" s="8" t="str">
        <f>IF(Parameters!B54="Y", Parameters!A54&amp;Parameters!G54, "")</f>
        <v/>
      </c>
      <c r="B46" s="240">
        <f>IF(Parameters!B54="Y",Software_PaymentImport,0)</f>
        <v>0</v>
      </c>
      <c r="C46" s="242">
        <f t="shared" si="5"/>
        <v>0</v>
      </c>
      <c r="D46" s="197"/>
      <c r="E46" s="140"/>
    </row>
    <row r="47" spans="1:5">
      <c r="A47" s="8" t="str">
        <f>IF(Parameters!B55="Y", Parameters!A55&amp;Parameters!G55, "")</f>
        <v/>
      </c>
      <c r="B47" s="240">
        <f>IF(Parameters!B55="Y",Software_PaymentImport,0)</f>
        <v>0</v>
      </c>
      <c r="C47" s="242">
        <f t="shared" si="5"/>
        <v>0</v>
      </c>
      <c r="D47" s="197"/>
      <c r="E47" s="140"/>
    </row>
    <row r="48" spans="1:5">
      <c r="A48" s="8" t="str">
        <f>IF(Parameters!B56="Y", Parameters!A56&amp;Parameters!G56, "")</f>
        <v/>
      </c>
      <c r="B48" s="240">
        <f>IF(Parameters!B56="Y",Software_PaymentImport,0)</f>
        <v>0</v>
      </c>
      <c r="C48" s="241">
        <f>B48</f>
        <v>0</v>
      </c>
      <c r="D48" s="197"/>
      <c r="E48" s="140"/>
    </row>
    <row r="49" spans="1:5">
      <c r="A49" s="8" t="str">
        <f>IF(Parameters!B57="Y", Parameters!A57&amp;Parameters!G57, "")</f>
        <v/>
      </c>
      <c r="B49" s="240">
        <f>IF(Parameters!B57="Y",Software_PaymentImport,0)</f>
        <v>0</v>
      </c>
      <c r="C49" s="242">
        <f t="shared" ref="C49:C51" si="6">B49</f>
        <v>0</v>
      </c>
      <c r="D49" s="197"/>
      <c r="E49" s="140"/>
    </row>
    <row r="50" spans="1:5">
      <c r="A50" s="8" t="str">
        <f>IF(Parameters!B58="Y", Parameters!A58&amp;Parameters!G58, "")</f>
        <v/>
      </c>
      <c r="B50" s="240">
        <f>IF(Parameters!B58="Y",Software_PaymentImport,0)</f>
        <v>0</v>
      </c>
      <c r="C50" s="242">
        <f t="shared" si="6"/>
        <v>0</v>
      </c>
      <c r="D50" s="197"/>
      <c r="E50" s="140"/>
    </row>
    <row r="51" spans="1:5">
      <c r="A51" s="8" t="str">
        <f>IF(Parameters!B59="Y", Parameters!A59&amp;Parameters!G59, "")</f>
        <v/>
      </c>
      <c r="B51" s="240">
        <f>IF(Parameters!B59="Y",Software_PaymentImport,0)</f>
        <v>0</v>
      </c>
      <c r="C51" s="242">
        <f t="shared" si="6"/>
        <v>0</v>
      </c>
      <c r="D51" s="197"/>
      <c r="E51" s="140"/>
    </row>
    <row r="52" spans="1:5">
      <c r="A52" s="8"/>
      <c r="B52" s="240"/>
      <c r="C52" s="242"/>
      <c r="D52" s="197"/>
      <c r="E52" s="140"/>
    </row>
    <row r="53" spans="1:5">
      <c r="A53" s="8" t="str">
        <f>IF(Parameters_OnCallSupport="Y", Parameters!A10, "")</f>
        <v/>
      </c>
      <c r="B53" s="240">
        <f>IF(Parameters_OnCallSupport="Y", SUM(C6:C42,C54:C57) * 0.2, 0)</f>
        <v>0</v>
      </c>
      <c r="C53" s="242">
        <f t="shared" si="4"/>
        <v>0</v>
      </c>
      <c r="D53" s="197"/>
      <c r="E53" s="140"/>
    </row>
    <row r="54" spans="1:5">
      <c r="A54" s="8"/>
      <c r="B54" s="240"/>
      <c r="C54" s="242"/>
      <c r="D54" s="197"/>
      <c r="E54" s="140"/>
    </row>
    <row r="55" spans="1:5">
      <c r="A55" s="8" t="s">
        <v>131</v>
      </c>
      <c r="B55" s="239">
        <v>0</v>
      </c>
      <c r="C55" s="242">
        <f t="shared" si="4"/>
        <v>0</v>
      </c>
      <c r="D55" s="197"/>
      <c r="E55" s="140"/>
    </row>
    <row r="56" spans="1:5">
      <c r="A56" s="8" t="s">
        <v>132</v>
      </c>
      <c r="B56" s="239">
        <v>0</v>
      </c>
      <c r="C56" s="242">
        <f t="shared" si="4"/>
        <v>0</v>
      </c>
      <c r="D56" s="197"/>
      <c r="E56" s="140"/>
    </row>
    <row r="57" spans="1:5" ht="14.85" customHeight="1">
      <c r="A57" s="8" t="s">
        <v>133</v>
      </c>
      <c r="B57" s="239">
        <v>0</v>
      </c>
      <c r="C57" s="242">
        <f t="shared" si="4"/>
        <v>0</v>
      </c>
      <c r="D57" s="197"/>
      <c r="E57" s="140"/>
    </row>
    <row r="58" spans="1:5">
      <c r="A58" s="141" t="s">
        <v>134</v>
      </c>
      <c r="B58" s="98">
        <f>SUM(B6:B57)</f>
        <v>7174.5</v>
      </c>
      <c r="C58" s="98">
        <f>SUM(C6:C57)</f>
        <v>7174.5</v>
      </c>
      <c r="D58" s="198" t="s">
        <v>6</v>
      </c>
      <c r="E58" s="140"/>
    </row>
    <row r="59" spans="1:5">
      <c r="A59" s="8" t="s">
        <v>135</v>
      </c>
      <c r="B59" s="145">
        <v>0</v>
      </c>
      <c r="C59" s="268">
        <f>C58*B59</f>
        <v>0</v>
      </c>
      <c r="D59" s="136"/>
      <c r="E59" s="144" t="s">
        <v>6</v>
      </c>
    </row>
    <row r="60" spans="1:5">
      <c r="A60" s="137" t="s">
        <v>136</v>
      </c>
      <c r="B60" s="98">
        <f>SUM(B58*12)</f>
        <v>86094</v>
      </c>
      <c r="C60" s="98">
        <f>SUM((C58+C59)*12)</f>
        <v>86094</v>
      </c>
      <c r="D60" s="138"/>
    </row>
    <row r="61" spans="1:5">
      <c r="A61" s="8"/>
      <c r="B61" s="14"/>
      <c r="C61" s="139"/>
      <c r="D61" s="136"/>
    </row>
    <row r="62" spans="1:5">
      <c r="A62" s="8"/>
      <c r="B62" s="14"/>
      <c r="C62" s="139"/>
      <c r="D62" s="136"/>
    </row>
    <row r="63" spans="1:5">
      <c r="A63" s="8"/>
      <c r="B63" s="14"/>
      <c r="C63" s="139"/>
      <c r="D63" s="136"/>
    </row>
    <row r="64" spans="1:5">
      <c r="A64" s="8"/>
      <c r="B64" s="14"/>
      <c r="C64" s="139"/>
      <c r="D64" s="136"/>
    </row>
    <row r="65" spans="1:4">
      <c r="A65" s="8"/>
      <c r="B65" s="14"/>
      <c r="C65" s="139"/>
      <c r="D65" s="136"/>
    </row>
    <row r="66" spans="1:4">
      <c r="A66" s="8"/>
      <c r="B66" s="14"/>
      <c r="C66" s="139"/>
      <c r="D66" s="140"/>
    </row>
    <row r="67" spans="1:4">
      <c r="A67" s="92"/>
      <c r="B67" s="14"/>
      <c r="C67" s="139"/>
      <c r="D67" s="136"/>
    </row>
    <row r="68" spans="1:4">
      <c r="A68" s="8"/>
      <c r="B68" s="14"/>
      <c r="C68" s="139"/>
      <c r="D68" s="140"/>
    </row>
    <row r="69" spans="1:4">
      <c r="A69" s="8"/>
      <c r="B69" s="31"/>
      <c r="C69" s="139"/>
      <c r="D69" s="140"/>
    </row>
    <row r="70" spans="1:4">
      <c r="A70" s="8"/>
      <c r="B70" s="31"/>
      <c r="C70" s="139"/>
      <c r="D70" s="140"/>
    </row>
    <row r="71" spans="1:4">
      <c r="A71" s="8"/>
      <c r="B71" s="31"/>
      <c r="C71" s="139"/>
      <c r="D71" s="140"/>
    </row>
    <row r="72" spans="1:4">
      <c r="A72" s="8"/>
      <c r="B72" s="31"/>
      <c r="C72" s="139"/>
      <c r="D72" s="140"/>
    </row>
    <row r="73" spans="1:4">
      <c r="A73" s="8"/>
      <c r="B73" s="31"/>
      <c r="C73" s="139"/>
      <c r="D73" s="140"/>
    </row>
    <row r="74" spans="1:4">
      <c r="A74" s="8"/>
      <c r="B74" s="31"/>
      <c r="C74" s="139"/>
      <c r="D74" s="140"/>
    </row>
    <row r="75" spans="1:4" ht="14.1" customHeight="1">
      <c r="A75" s="8"/>
      <c r="B75" s="31"/>
      <c r="C75" s="139"/>
      <c r="D75" s="140"/>
    </row>
    <row r="76" spans="1:4">
      <c r="A76" s="8"/>
      <c r="B76" s="31"/>
      <c r="C76" s="139"/>
      <c r="D76" s="140"/>
    </row>
    <row r="77" spans="1:4" ht="14.1" customHeight="1">
      <c r="A77" s="8"/>
      <c r="B77" s="31"/>
      <c r="C77" s="139"/>
      <c r="D77" s="140"/>
    </row>
    <row r="78" spans="1:4">
      <c r="A78" s="8"/>
      <c r="B78" s="31"/>
      <c r="C78" s="139"/>
      <c r="D78" s="140"/>
    </row>
    <row r="79" spans="1:4">
      <c r="A79" s="8"/>
      <c r="B79" s="31"/>
      <c r="C79" s="139"/>
      <c r="D79" s="140"/>
    </row>
    <row r="80" spans="1:4">
      <c r="A80" s="8"/>
      <c r="B80" s="31"/>
      <c r="C80" s="139"/>
      <c r="D80" s="140"/>
    </row>
    <row r="81" spans="1:4">
      <c r="A81" s="141"/>
      <c r="B81" s="142"/>
      <c r="C81" s="143"/>
      <c r="D81" s="143"/>
    </row>
    <row r="82" spans="1:4">
      <c r="A82" s="8"/>
      <c r="B82" s="145"/>
      <c r="C82" s="146"/>
      <c r="D82" s="136"/>
    </row>
    <row r="83" spans="1:4">
      <c r="A83" s="137"/>
      <c r="B83" s="31"/>
      <c r="C83" s="135"/>
      <c r="D83" s="138"/>
    </row>
    <row r="84" spans="1:4">
      <c r="A84" s="8"/>
      <c r="B84" s="31"/>
      <c r="C84" s="139"/>
      <c r="D84" s="136"/>
    </row>
    <row r="85" spans="1:4">
      <c r="A85" s="8"/>
      <c r="B85" s="31"/>
      <c r="C85" s="139"/>
      <c r="D85" s="136"/>
    </row>
    <row r="86" spans="1:4">
      <c r="A86" s="8"/>
      <c r="B86" s="31"/>
      <c r="C86" s="139"/>
      <c r="D86" s="136"/>
    </row>
    <row r="87" spans="1:4">
      <c r="A87" s="8"/>
      <c r="B87" s="31"/>
      <c r="C87" s="139"/>
      <c r="D87" s="136"/>
    </row>
    <row r="88" spans="1:4">
      <c r="A88" s="8"/>
      <c r="B88" s="31"/>
      <c r="C88" s="139"/>
      <c r="D88" s="140"/>
    </row>
    <row r="89" spans="1:4">
      <c r="A89" s="8"/>
      <c r="B89" s="31"/>
      <c r="C89" s="139"/>
      <c r="D89" s="136"/>
    </row>
    <row r="90" spans="1:4">
      <c r="A90" s="8"/>
      <c r="B90" s="31"/>
      <c r="C90" s="139"/>
      <c r="D90" s="140"/>
    </row>
    <row r="91" spans="1:4">
      <c r="A91" s="8"/>
      <c r="B91" s="31"/>
      <c r="C91" s="139"/>
      <c r="D91" s="140"/>
    </row>
    <row r="92" spans="1:4">
      <c r="A92" s="8"/>
      <c r="B92" s="31"/>
      <c r="C92" s="139"/>
      <c r="D92" s="140"/>
    </row>
    <row r="93" spans="1:4">
      <c r="A93" s="8"/>
      <c r="B93" s="31"/>
      <c r="C93" s="139"/>
      <c r="D93" s="140"/>
    </row>
    <row r="94" spans="1:4">
      <c r="A94" s="8"/>
      <c r="B94" s="31"/>
      <c r="C94" s="139"/>
      <c r="D94" s="140"/>
    </row>
    <row r="95" spans="1:4">
      <c r="A95" s="8"/>
      <c r="B95" s="31"/>
      <c r="C95" s="139"/>
      <c r="D95" s="140"/>
    </row>
    <row r="96" spans="1:4">
      <c r="A96" s="8"/>
      <c r="B96" s="31"/>
      <c r="C96" s="139"/>
      <c r="D96" s="140"/>
    </row>
    <row r="97" spans="1:5">
      <c r="A97" s="8"/>
      <c r="B97" s="31"/>
      <c r="C97" s="139"/>
      <c r="D97" s="140"/>
    </row>
    <row r="98" spans="1:5" ht="15" customHeight="1">
      <c r="A98" s="8"/>
      <c r="B98" s="31"/>
      <c r="C98" s="139"/>
      <c r="D98" s="140"/>
    </row>
    <row r="99" spans="1:5">
      <c r="A99" s="8"/>
      <c r="B99" s="31"/>
      <c r="C99" s="139"/>
      <c r="D99" s="140"/>
    </row>
    <row r="100" spans="1:5">
      <c r="A100" s="8"/>
      <c r="B100" s="31"/>
      <c r="C100" s="139"/>
      <c r="D100" s="140"/>
    </row>
    <row r="101" spans="1:5">
      <c r="A101" s="8"/>
      <c r="B101" s="31"/>
      <c r="C101" s="139"/>
      <c r="D101" s="140"/>
    </row>
    <row r="102" spans="1:5" s="7" customFormat="1">
      <c r="A102" s="8"/>
      <c r="B102" s="31"/>
      <c r="C102" s="139"/>
      <c r="D102" s="140"/>
      <c r="E102"/>
    </row>
    <row r="103" spans="1:5" s="7" customFormat="1" ht="30" customHeight="1">
      <c r="A103" s="141"/>
      <c r="B103" s="142"/>
      <c r="C103" s="147"/>
      <c r="D103" s="147"/>
      <c r="E103"/>
    </row>
    <row r="104" spans="1:5">
      <c r="A104" s="8"/>
      <c r="B104" s="145"/>
      <c r="C104" s="146"/>
      <c r="D104" s="136"/>
    </row>
    <row r="105" spans="1:5" s="7" customFormat="1" ht="30" customHeight="1">
      <c r="A105" s="148"/>
      <c r="B105" s="149"/>
      <c r="C105" s="150"/>
      <c r="D105" s="151"/>
      <c r="E105"/>
    </row>
    <row r="106" spans="1:5">
      <c r="A106" s="8"/>
      <c r="B106" s="145"/>
      <c r="C106" s="146"/>
      <c r="D106" s="136"/>
    </row>
    <row r="107" spans="1:5">
      <c r="A107" s="152"/>
      <c r="B107" s="145"/>
      <c r="C107" s="139"/>
      <c r="D107" s="136"/>
    </row>
    <row r="108" spans="1:5">
      <c r="A108" s="8"/>
      <c r="B108" s="31"/>
      <c r="C108" s="39"/>
      <c r="D108" s="8"/>
    </row>
    <row r="109" spans="1:5" ht="14.65" thickBot="1">
      <c r="A109" s="153"/>
      <c r="B109" s="154"/>
      <c r="C109" s="155"/>
      <c r="D109" s="156"/>
    </row>
  </sheetData>
  <autoFilter ref="A5:E60" xr:uid="{D374C8DD-4915-4243-8388-409E80785300}">
    <filterColumn colId="1" showButton="0"/>
  </autoFilter>
  <mergeCells count="3">
    <mergeCell ref="A1:E1"/>
    <mergeCell ref="A2:D2"/>
    <mergeCell ref="B5:C5"/>
  </mergeCells>
  <printOptions gridLines="1"/>
  <pageMargins left="0.7" right="0.7" top="0.75" bottom="0.75" header="0.3" footer="0.3"/>
  <pageSetup scale="72" fitToWidth="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EA24-5480-4C94-8764-DC8E8554A1DC}">
  <sheetPr>
    <pageSetUpPr fitToPage="1"/>
  </sheetPr>
  <dimension ref="A1:R100"/>
  <sheetViews>
    <sheetView topLeftCell="A2" workbookViewId="0">
      <selection activeCell="C17" activeCellId="1" sqref="G17 C17"/>
    </sheetView>
  </sheetViews>
  <sheetFormatPr defaultColWidth="8.7109375" defaultRowHeight="14.45"/>
  <cols>
    <col min="1" max="1" width="33.28515625" customWidth="1"/>
    <col min="2" max="3" width="9.28515625" style="78" customWidth="1"/>
    <col min="4" max="4" width="12.28515625" style="7" customWidth="1"/>
    <col min="5" max="5" width="1.7109375" style="7" customWidth="1"/>
    <col min="6" max="7" width="9.28515625" customWidth="1"/>
    <col min="8" max="8" width="12.28515625" customWidth="1"/>
    <col min="9" max="9" width="1.7109375" customWidth="1"/>
    <col min="10" max="11" width="9.28515625" customWidth="1"/>
    <col min="12" max="12" width="12.28515625" customWidth="1"/>
    <col min="13" max="13" width="36.140625" customWidth="1"/>
    <col min="17" max="17" width="27.28515625" bestFit="1" customWidth="1"/>
  </cols>
  <sheetData>
    <row r="1" spans="1:18" ht="14.65" thickBot="1">
      <c r="A1" s="344" t="str">
        <f>"Service Calculations - "&amp;Parameters!G3</f>
        <v>Service Calculations - TELLER CLIENT, STATE</v>
      </c>
      <c r="B1" s="345"/>
      <c r="C1" s="345"/>
      <c r="D1" s="345"/>
      <c r="E1" s="345"/>
      <c r="F1" s="368"/>
      <c r="G1" s="368"/>
      <c r="H1" s="366"/>
      <c r="I1" s="366"/>
      <c r="J1" s="366"/>
      <c r="K1" s="366"/>
      <c r="L1" s="366"/>
      <c r="M1" s="366"/>
    </row>
    <row r="2" spans="1:18" ht="15" thickTop="1" thickBot="1">
      <c r="A2" s="367"/>
      <c r="B2" s="367"/>
      <c r="C2" s="367"/>
      <c r="D2" s="367"/>
      <c r="E2" s="367"/>
      <c r="F2" s="369"/>
    </row>
    <row r="3" spans="1:18" ht="30.6" customHeight="1" thickTop="1" thickBot="1">
      <c r="A3" s="160" t="s">
        <v>6</v>
      </c>
      <c r="B3" s="235" t="s">
        <v>137</v>
      </c>
      <c r="C3" s="235" t="s">
        <v>138</v>
      </c>
      <c r="D3" s="236" t="s">
        <v>139</v>
      </c>
      <c r="E3" s="237"/>
      <c r="F3" s="238" t="s">
        <v>137</v>
      </c>
      <c r="G3" s="238" t="s">
        <v>138</v>
      </c>
      <c r="H3" s="236" t="s">
        <v>139</v>
      </c>
      <c r="I3" s="237"/>
      <c r="J3" s="235" t="s">
        <v>137</v>
      </c>
      <c r="K3" s="235" t="s">
        <v>138</v>
      </c>
      <c r="L3" s="236" t="s">
        <v>140</v>
      </c>
      <c r="M3" s="162" t="s">
        <v>6</v>
      </c>
    </row>
    <row r="4" spans="1:18" ht="18.95" thickTop="1" thickBot="1">
      <c r="A4" s="158"/>
      <c r="B4" s="184"/>
      <c r="C4" s="184"/>
      <c r="D4" s="185"/>
      <c r="E4" s="199"/>
      <c r="F4" s="192"/>
      <c r="G4" s="192"/>
      <c r="H4" s="185"/>
      <c r="I4" s="199"/>
      <c r="J4" s="184"/>
      <c r="K4" s="184"/>
      <c r="L4" s="185"/>
      <c r="M4" s="186"/>
    </row>
    <row r="5" spans="1:18" ht="15" thickTop="1" thickBot="1">
      <c r="A5" s="270" t="s">
        <v>141</v>
      </c>
      <c r="B5" s="350" t="s">
        <v>142</v>
      </c>
      <c r="C5" s="348"/>
      <c r="D5" s="349"/>
      <c r="E5" s="195"/>
      <c r="F5" s="348" t="s">
        <v>143</v>
      </c>
      <c r="G5" s="348"/>
      <c r="H5" s="347"/>
      <c r="I5" s="195"/>
      <c r="J5" s="346" t="s">
        <v>144</v>
      </c>
      <c r="K5" s="348"/>
      <c r="L5" s="347"/>
      <c r="M5" s="157" t="s">
        <v>6</v>
      </c>
      <c r="Q5" s="312" t="s">
        <v>145</v>
      </c>
      <c r="R5" s="157" t="s">
        <v>146</v>
      </c>
    </row>
    <row r="6" spans="1:18" ht="14.65" thickTop="1">
      <c r="A6" s="18" t="s">
        <v>147</v>
      </c>
      <c r="B6" s="274">
        <f>IF(Parameters_Edition="S",'Variables-Services'!D8,'Variables-Services'!D9)</f>
        <v>56</v>
      </c>
      <c r="C6" s="159">
        <f>B6</f>
        <v>56</v>
      </c>
      <c r="D6" s="275">
        <f>IF(C6&gt;0,(C6*Services_HourlyRate),0)</f>
        <v>12880</v>
      </c>
      <c r="E6" s="196"/>
      <c r="F6" s="222">
        <f xml:space="preserve"> 'Variables-Services'!D36</f>
        <v>16</v>
      </c>
      <c r="G6" s="193">
        <f>F6</f>
        <v>16</v>
      </c>
      <c r="H6" s="220">
        <f>IF(G6&gt;0,(G6*Services_HourlyRate),0)</f>
        <v>3680</v>
      </c>
      <c r="I6" s="196"/>
      <c r="J6" s="285">
        <f>SUM(Parameters!$B8*'Variables-Services'!$D69)</f>
        <v>90</v>
      </c>
      <c r="K6" s="286">
        <f>J6</f>
        <v>90</v>
      </c>
      <c r="L6" s="287">
        <f>IF(K6&gt;0,(K6*Services_HourlyRate),0)</f>
        <v>20700</v>
      </c>
      <c r="M6" s="281" t="s">
        <v>6</v>
      </c>
      <c r="Q6" s="115" t="s">
        <v>148</v>
      </c>
      <c r="R6" s="313" t="e">
        <f>'Hours By Role'!C45</f>
        <v>#REF!</v>
      </c>
    </row>
    <row r="7" spans="1:18">
      <c r="A7" s="18" t="s">
        <v>149</v>
      </c>
      <c r="B7" s="276"/>
      <c r="C7" s="159">
        <f t="shared" ref="C7:C48" si="0">B7</f>
        <v>0</v>
      </c>
      <c r="D7" s="277">
        <f>IF(C7&gt;0,(C7*Services_HourlyRate),0)</f>
        <v>0</v>
      </c>
      <c r="E7" s="197"/>
      <c r="F7" s="222">
        <f xml:space="preserve"> 'Variables-Services'!D37*Parameters_Departments</f>
        <v>32</v>
      </c>
      <c r="G7" s="193">
        <f>F7</f>
        <v>32</v>
      </c>
      <c r="H7" s="221">
        <f>IF(G7&gt;0,(G7*Services_HourlyRate),0)</f>
        <v>7360</v>
      </c>
      <c r="I7" s="197"/>
      <c r="J7" s="288" t="s">
        <v>6</v>
      </c>
      <c r="K7" s="31" t="s">
        <v>6</v>
      </c>
      <c r="L7" s="277">
        <v>0</v>
      </c>
      <c r="M7" s="282" t="s">
        <v>6</v>
      </c>
      <c r="Q7" s="115" t="s">
        <v>150</v>
      </c>
      <c r="R7" s="313" t="e">
        <f>'Hours By Role'!C46</f>
        <v>#REF!</v>
      </c>
    </row>
    <row r="8" spans="1:18" ht="14.65" thickBot="1">
      <c r="A8" s="18" t="s">
        <v>151</v>
      </c>
      <c r="B8" s="351"/>
      <c r="C8" s="352"/>
      <c r="D8" s="353"/>
      <c r="E8" s="197"/>
      <c r="F8" s="351"/>
      <c r="G8" s="352"/>
      <c r="H8" s="353"/>
      <c r="I8" s="197"/>
      <c r="J8" s="289" t="s">
        <v>152</v>
      </c>
      <c r="K8" s="145" t="s">
        <v>6</v>
      </c>
      <c r="L8" s="290">
        <f>L6+L7</f>
        <v>20700</v>
      </c>
      <c r="M8" s="282" t="s">
        <v>6</v>
      </c>
      <c r="Q8" s="115" t="s">
        <v>153</v>
      </c>
      <c r="R8" s="313">
        <f>'Hours By Role'!C47</f>
        <v>66</v>
      </c>
    </row>
    <row r="9" spans="1:18" ht="15" thickTop="1" thickBot="1">
      <c r="A9" s="9" t="str">
        <f>IF(Parameters_ImageCashLetter_Active="Y",Parameters!A15&amp;" - "&amp;Parameters!G15,"""")</f>
        <v xml:space="preserve">         Image Cash Letter - ????</v>
      </c>
      <c r="B9" s="276">
        <f>IF(Parameters_ImageCashLetter_Active="Y", 'Variables-Services'!D11,0)</f>
        <v>8</v>
      </c>
      <c r="C9" s="159">
        <f t="shared" si="0"/>
        <v>8</v>
      </c>
      <c r="D9" s="277">
        <f>IF(C9&gt;0,(C9*Services_HourlyRate),0)</f>
        <v>1840</v>
      </c>
      <c r="E9" s="197"/>
      <c r="F9" s="219">
        <f>IF(Parameters!I14="NN",0,IF(Parameters!I14 ="NY",0,IF(Parameters!I14="YN", 'Variables-Services'!D39, IF(Parameters!I14="YY", 'Variables-Services'!D40,0))))</f>
        <v>12</v>
      </c>
      <c r="G9" s="193">
        <f t="shared" ref="G9:G48" si="1">F9</f>
        <v>12</v>
      </c>
      <c r="H9" s="221">
        <f>IF(G9&gt;0,(G9*Services_HourlyRate),0)</f>
        <v>2760</v>
      </c>
      <c r="I9" s="197"/>
      <c r="J9" s="346" t="s">
        <v>154</v>
      </c>
      <c r="K9" s="348"/>
      <c r="L9" s="349"/>
      <c r="M9" s="283" t="s">
        <v>155</v>
      </c>
      <c r="Q9" s="115" t="s">
        <v>156</v>
      </c>
      <c r="R9" s="313">
        <f>'Hours By Role'!C48</f>
        <v>62.999999999999993</v>
      </c>
    </row>
    <row r="10" spans="1:18" ht="14.65" thickTop="1">
      <c r="A10" s="9" t="str">
        <f>IF(Parameters_RevenueSubmission_Active="Y", Parameters!A16, "")</f>
        <v xml:space="preserve">         Revenue Submission</v>
      </c>
      <c r="B10" s="276">
        <f>IF(Parameters_RevenueSubmission_Active="Y",((LOOKUP(Parameters_RevenueSubmission_Submitters,'Variables-Services'!$B12:B14, 'Variables-Services'!$D12:D14))),0)</f>
        <v>12</v>
      </c>
      <c r="C10" s="159">
        <f t="shared" si="0"/>
        <v>12</v>
      </c>
      <c r="D10" s="277">
        <f>IF(C10&gt;0,(C10*Services_HourlyRate),0)</f>
        <v>2760</v>
      </c>
      <c r="E10" s="197"/>
      <c r="F10" s="219">
        <f>IF(Parameters_RevenueSubmission_Active="Y",((LOOKUP(Parameters_RevenueSubmission_Submitters,'Variables-Services'!$B41:B43, 'Variables-Services'!$D41:D43))),0)</f>
        <v>24</v>
      </c>
      <c r="G10" s="193">
        <f t="shared" si="1"/>
        <v>24</v>
      </c>
      <c r="H10" s="221">
        <f>IF(G10&gt;0,(G10*Services_HourlyRate),0)</f>
        <v>5520</v>
      </c>
      <c r="I10" s="197"/>
      <c r="J10" s="291">
        <f>ROUNDUP(G49*'Variables-Services'!$D61,0)</f>
        <v>32</v>
      </c>
      <c r="K10" s="159">
        <f t="shared" ref="K10:K28" si="2">J10</f>
        <v>32</v>
      </c>
      <c r="L10" s="275">
        <f>IF(K10&gt;0,(K10*Services_HourlyRate),0)</f>
        <v>7360</v>
      </c>
      <c r="M10" s="281" t="s">
        <v>157</v>
      </c>
      <c r="Q10" s="115" t="s">
        <v>158</v>
      </c>
      <c r="R10" s="313">
        <f>'Hours By Role'!C49</f>
        <v>27</v>
      </c>
    </row>
    <row r="11" spans="1:18">
      <c r="A11" s="9" t="str">
        <f>IF(Parameters_TellerOnline_Active="Y", Parameters!A18, "")</f>
        <v xml:space="preserve">         Online Customer Portal</v>
      </c>
      <c r="B11" s="276">
        <f>IF(Parameters_TellerOnline_Active="Y",('Variables-Services'!D15+(Parameters_TellerOnline_Interfaces*'Variables-Services'!D16)),0)</f>
        <v>8</v>
      </c>
      <c r="C11" s="159">
        <f t="shared" si="0"/>
        <v>8</v>
      </c>
      <c r="D11" s="277">
        <f>IF(C11&gt;0,(C11*Services_HourlyRate),0)</f>
        <v>1840</v>
      </c>
      <c r="E11" s="197"/>
      <c r="F11" s="222">
        <f>IF(Parameters_TellerOnline_Active="Y",('Variables-Services'!D44+(Parameters_TellerOnline_Interfaces*'Variables-Services'!D45)+(Parameters_TellerOnline_Interfaces_New*'Variables-Services'!D46)),0)</f>
        <v>48</v>
      </c>
      <c r="G11" s="193">
        <f t="shared" si="1"/>
        <v>48</v>
      </c>
      <c r="H11" s="221">
        <f>IF(G11&gt;0,(G11*Services_HourlyRate),0)</f>
        <v>11040</v>
      </c>
      <c r="I11" s="197"/>
      <c r="J11" s="288">
        <f>'Variables-Services'!$D62*'Travel Costs'!$C9</f>
        <v>16</v>
      </c>
      <c r="K11" s="159">
        <f t="shared" si="2"/>
        <v>16</v>
      </c>
      <c r="L11" s="275">
        <f>IF(K11&gt;0,(K11*Services_HourlyRate),0)</f>
        <v>3680</v>
      </c>
      <c r="M11" s="282" t="s">
        <v>159</v>
      </c>
      <c r="Q11" s="115" t="s">
        <v>160</v>
      </c>
      <c r="R11" s="313">
        <f>'Hours By Role'!C50</f>
        <v>114.00000000000001</v>
      </c>
    </row>
    <row r="12" spans="1:18">
      <c r="A12" s="9" t="str">
        <f>IF(Parameters_OnlineFormCount + Parameters_OnlineFormWithWorkflowCount &gt; 0, "         Online Forms", "")</f>
        <v/>
      </c>
      <c r="B12" s="276">
        <f>(Parameters_OnlineForm_Estimate + Parameters_OnlineFormWithWorkflow_Estimate) * 0.2</f>
        <v>0</v>
      </c>
      <c r="C12" s="159">
        <f t="shared" si="0"/>
        <v>0</v>
      </c>
      <c r="D12" s="277">
        <f>IF(C12&gt;0,(C12*Services_HourlyRate),0)</f>
        <v>0</v>
      </c>
      <c r="E12" s="197"/>
      <c r="F12" s="222">
        <f>(Parameters_OnlineForm_Estimate + Parameters_OnlineFormWithWorkflow_Estimate) * 0.8</f>
        <v>0</v>
      </c>
      <c r="G12" s="193">
        <f t="shared" si="1"/>
        <v>0</v>
      </c>
      <c r="H12" s="221">
        <f>IF(G12&gt;0,(G12*Services_HourlyRate),0)</f>
        <v>0</v>
      </c>
      <c r="I12" s="197"/>
      <c r="J12" s="288">
        <f>IF(Parameters!K46&gt;0, ('Variables-Services'!L13*Parameters!K46), 0)</f>
        <v>0</v>
      </c>
      <c r="K12" s="159">
        <f t="shared" si="2"/>
        <v>0</v>
      </c>
      <c r="L12" s="277">
        <f>IF(K12&gt;0,(K12*'Variables-Services'!$C8),0)</f>
        <v>0</v>
      </c>
      <c r="M12" s="282"/>
      <c r="Q12" s="115" t="s">
        <v>161</v>
      </c>
      <c r="R12" s="313">
        <f>'Hours By Role'!C51</f>
        <v>0</v>
      </c>
    </row>
    <row r="13" spans="1:18">
      <c r="A13" s="9" t="str">
        <f>IF(Parameters!B22="Y", Parameters!A22&amp;" - "&amp;Parameters!G22, "")</f>
        <v xml:space="preserve">         Credit Processor  - ????</v>
      </c>
      <c r="B13" s="276">
        <f>IF(Parameters!I22="NN",0,IF(Parameters!I22 ="NY",0,IF(Parameters!I22="YN", 'Variables-Services'!D17, IF(Parameters!I22="YY", 'Variables-Services'!D18,0))))</f>
        <v>4</v>
      </c>
      <c r="C13" s="159">
        <f t="shared" si="0"/>
        <v>4</v>
      </c>
      <c r="D13" s="277">
        <f t="shared" ref="D13:D31" si="3">IF(C13&gt;0,(C13*Services_HourlyRate),0)</f>
        <v>920</v>
      </c>
      <c r="E13" s="197"/>
      <c r="F13" s="219">
        <f>IF(Parameters!I22="NN",0,IF(Parameters!I22 ="NY",0,IF(Parameters!I22="YN", 'Variables-Services'!D48, IF(Parameters!I22="YY", 'Variables-Services'!D49,0))))</f>
        <v>4</v>
      </c>
      <c r="G13" s="193">
        <f t="shared" si="1"/>
        <v>4</v>
      </c>
      <c r="H13" s="221">
        <f t="shared" ref="H13:H48" si="4">IF(G13&gt;0,(G13*Services_HourlyRate),0)</f>
        <v>920</v>
      </c>
      <c r="I13" s="197"/>
      <c r="J13" s="288">
        <v>0</v>
      </c>
      <c r="K13" s="159">
        <v>0</v>
      </c>
      <c r="L13" s="277">
        <f>IF(K13&gt;0,(K13*Services_HourlyRate),0)</f>
        <v>0</v>
      </c>
      <c r="M13" s="284" t="s">
        <v>162</v>
      </c>
      <c r="Q13" s="115" t="s">
        <v>163</v>
      </c>
      <c r="R13" s="313">
        <f>'Hours By Role'!C52</f>
        <v>18</v>
      </c>
    </row>
    <row r="14" spans="1:18">
      <c r="A14" s="9" t="str">
        <f>IF(Parameters!B23="Y", Parameters!A23&amp;" - "&amp;Parameters!G23, "")</f>
        <v xml:space="preserve">         Financials - ????</v>
      </c>
      <c r="B14" s="276">
        <f>IF(Parameters!I23="NN",0,IF(Parameters!I23 ="NY",0,IF(Parameters!I23="YN", 'Variables-Services'!D19, IF(Parameters!I23="YY", 'Variables-Services'!D20,0))))</f>
        <v>0</v>
      </c>
      <c r="C14" s="159">
        <f t="shared" si="0"/>
        <v>0</v>
      </c>
      <c r="D14" s="277">
        <f t="shared" si="3"/>
        <v>0</v>
      </c>
      <c r="E14" s="197"/>
      <c r="F14" s="219">
        <f>IF(Parameters!I23="NN",0,IF(Parameters!I23 ="NY",0,IF(Parameters!I23="YN", 'Variables-Services'!D50, IF(Parameters!I23="YY", 'Variables-Services'!D51,0))))</f>
        <v>0</v>
      </c>
      <c r="G14" s="193">
        <f t="shared" si="1"/>
        <v>0</v>
      </c>
      <c r="H14" s="221">
        <f t="shared" si="4"/>
        <v>0</v>
      </c>
      <c r="I14" s="197"/>
      <c r="J14" s="288">
        <v>0</v>
      </c>
      <c r="K14" s="159">
        <v>0</v>
      </c>
      <c r="L14" s="277">
        <f>IF(K14&gt;0,(K14*Services_HourlyRate),0)</f>
        <v>0</v>
      </c>
      <c r="M14" s="284" t="s">
        <v>164</v>
      </c>
      <c r="Q14" s="115" t="s">
        <v>165</v>
      </c>
      <c r="R14" s="313">
        <f>'Hours By Role'!C53</f>
        <v>47.6</v>
      </c>
    </row>
    <row r="15" spans="1:18" ht="16.350000000000001" customHeight="1">
      <c r="A15" s="9" t="str">
        <f>IF(Parameters!B24="Y", Parameters!A24&amp;" - "&amp;Parameters!G24, "")</f>
        <v xml:space="preserve">         Financials A/R - ????</v>
      </c>
      <c r="B15" s="276">
        <f>IF(Parameters!I24="NN",0,IF(Parameters!I24 ="NY",0,IF(Parameters!I24="YN", 'Variables-Services'!D21, IF(Parameters!I24="YY", 'Variables-Services'!D22,0))))</f>
        <v>8</v>
      </c>
      <c r="C15" s="159">
        <f t="shared" si="0"/>
        <v>8</v>
      </c>
      <c r="D15" s="277">
        <f t="shared" si="3"/>
        <v>1840</v>
      </c>
      <c r="E15" s="197"/>
      <c r="F15" s="219">
        <f>IF(Parameters!I24="NN",0,IF(Parameters!I24 ="NY",0,IF(Parameters!I24="YN", 'Variables-Services'!D52, IF(Parameters!I24="YY", 'Variables-Services'!D53,0))))</f>
        <v>20</v>
      </c>
      <c r="G15" s="193">
        <f t="shared" si="1"/>
        <v>20</v>
      </c>
      <c r="H15" s="221">
        <f t="shared" si="4"/>
        <v>4600</v>
      </c>
      <c r="I15" s="197"/>
      <c r="J15" s="288">
        <f>SUM('Travel Costs'!$C9*'Travel Costs'!$G9)</f>
        <v>32</v>
      </c>
      <c r="K15" s="159">
        <f t="shared" si="2"/>
        <v>32</v>
      </c>
      <c r="L15" s="277">
        <f>IF(K15&gt;0,(K15*Services_HourlyRate),0)</f>
        <v>7360</v>
      </c>
      <c r="M15" s="87" t="s">
        <v>154</v>
      </c>
      <c r="Q15" s="17" t="s">
        <v>166</v>
      </c>
      <c r="R15" s="128" t="e">
        <f>'Hours By Role'!C54</f>
        <v>#REF!</v>
      </c>
    </row>
    <row r="16" spans="1:18">
      <c r="A16" s="9" t="str">
        <f>IF(Parameters!B25="Y", Parameters!A25&amp;Parameters!G25, "")</f>
        <v xml:space="preserve">         Bi-Directional - ????</v>
      </c>
      <c r="B16" s="276">
        <f>IF(Parameters!I25="NN",0,IF(Parameters!I25 ="NY",0,IF(Parameters!I25="YN", Services_BiDirectionalExistingPlanning, IF(Parameters!I25="YY", Services_BiDirectionalNewPlanning,0))))</f>
        <v>8</v>
      </c>
      <c r="C16" s="159">
        <f t="shared" si="0"/>
        <v>8</v>
      </c>
      <c r="D16" s="277">
        <f t="shared" si="3"/>
        <v>1840</v>
      </c>
      <c r="E16" s="197"/>
      <c r="F16" s="219">
        <f>IF(Parameters!I25="NN",0,IF(Parameters!I25 ="NY",0,IF(Parameters!I25="YN", Services_BiDirectionalExistingImpl, IF(Parameters!I25="YY", Services_BiDirectionalNewImpl,0))))</f>
        <v>24</v>
      </c>
      <c r="G16" s="193">
        <f t="shared" si="1"/>
        <v>24</v>
      </c>
      <c r="H16" s="221">
        <f t="shared" si="4"/>
        <v>5520</v>
      </c>
      <c r="I16" s="197"/>
      <c r="J16" s="288">
        <f>SUM('Travel Costs'!$C10*'Travel Costs'!$G10)</f>
        <v>16</v>
      </c>
      <c r="K16" s="159">
        <f t="shared" si="2"/>
        <v>16</v>
      </c>
      <c r="L16" s="277">
        <f>IF(K16&gt;0,(K16*Services_HourlyRate),0)</f>
        <v>3680</v>
      </c>
      <c r="M16" s="87" t="s">
        <v>167</v>
      </c>
      <c r="P16" s="2" t="s">
        <v>168</v>
      </c>
      <c r="R16" t="e">
        <f>SUM(R6:R15)</f>
        <v>#REF!</v>
      </c>
    </row>
    <row r="17" spans="1:13">
      <c r="A17" s="9" t="str">
        <f>IF(Parameters!B26="Y", Parameters!A26&amp;Parameters!G26, "")</f>
        <v xml:space="preserve">         Bi-Directional - ????</v>
      </c>
      <c r="B17" s="276">
        <f>IF(Parameters!I26="NN",0,IF(Parameters!I26 ="NY",0,IF(Parameters!I26="YN", Services_BiDirectionalExistingPlanning, IF(Parameters!I26="YY", Services_BiDirectionalNewPlanning,0))))</f>
        <v>24</v>
      </c>
      <c r="C17" s="159">
        <f t="shared" ref="C17:C25" si="5">B17</f>
        <v>24</v>
      </c>
      <c r="D17" s="277">
        <f t="shared" ref="D17:D25" si="6">IF(C17&gt;0,(C17*Services_HourlyRate),0)</f>
        <v>5520</v>
      </c>
      <c r="E17" s="197"/>
      <c r="F17" s="219">
        <f>IF(Parameters!I26="NN",0,IF(Parameters!I26 ="NY",0,IF(Parameters!I26="YN", Services_BiDirectionalExistingImpl, IF(Parameters!I26="YY", Services_BiDirectionalNewImpl,0))))</f>
        <v>100</v>
      </c>
      <c r="G17" s="193">
        <f t="shared" ref="G17:G25" si="7">F17</f>
        <v>100</v>
      </c>
      <c r="H17" s="221">
        <f t="shared" ref="H17:H25" si="8">IF(G17&gt;0,(G17*Services_HourlyRate),0)</f>
        <v>23000</v>
      </c>
      <c r="I17" s="197"/>
      <c r="J17" s="288">
        <f>IF(Parameters!Q25="NN",0,IF(Parameters!Q25 ="NY",0,IF(Parameters!Q25="YN", 'Variables-Services'!L24, IF(Parameters!Q25="YY", 'Variables-Services'!#REF!,0))))</f>
        <v>0</v>
      </c>
      <c r="K17" s="159">
        <f t="shared" si="2"/>
        <v>0</v>
      </c>
      <c r="L17" s="277">
        <f>IF(K17&gt;0,(K17*Services_HourlyRate),0)</f>
        <v>0</v>
      </c>
      <c r="M17" s="282"/>
    </row>
    <row r="18" spans="1:13">
      <c r="A18" s="9" t="str">
        <f>IF(Parameters!B27="Y", Parameters!A27&amp;Parameters!G27, "")</f>
        <v/>
      </c>
      <c r="B18" s="276">
        <f>IF(Parameters!I27="NN",0,IF(Parameters!I27 ="NY",0,IF(Parameters!I27="YN", Services_BiDirectionalExistingPlanning, IF(Parameters!I27="YY", Services_BiDirectionalNewPlanning,0))))</f>
        <v>0</v>
      </c>
      <c r="C18" s="159">
        <f t="shared" si="5"/>
        <v>0</v>
      </c>
      <c r="D18" s="277">
        <f t="shared" si="6"/>
        <v>0</v>
      </c>
      <c r="E18" s="197"/>
      <c r="F18" s="219">
        <f>IF(Parameters!I27="NN",0,IF(Parameters!I27 ="NY",0,IF(Parameters!I27="YN", Services_BiDirectionalExistingImpl, IF(Parameters!I27="YY", Services_BiDirectionalNewImpl,0))))</f>
        <v>0</v>
      </c>
      <c r="G18" s="193">
        <f t="shared" si="7"/>
        <v>0</v>
      </c>
      <c r="H18" s="221">
        <f t="shared" si="8"/>
        <v>0</v>
      </c>
      <c r="I18" s="197"/>
      <c r="J18" s="288">
        <f>IF(Parameters!P26="NN",0,IF(Parameters!P26 ="NY",0,IF(Parameters!P26="YN", 'Variables-Services'!#REF!, IF(Parameters!P26="YY", 'Variables-Services'!#REF!,0))))</f>
        <v>0</v>
      </c>
      <c r="K18" s="159">
        <f>L18/Services_HourlyRate</f>
        <v>24</v>
      </c>
      <c r="L18" s="277">
        <f>'Travel Costs'!$I13</f>
        <v>5520</v>
      </c>
      <c r="M18" s="282" t="s">
        <v>169</v>
      </c>
    </row>
    <row r="19" spans="1:13">
      <c r="A19" s="9" t="str">
        <f>IF(Parameters!B28="Y", Parameters!A28&amp;Parameters!G28, "")</f>
        <v/>
      </c>
      <c r="B19" s="276">
        <f>IF(Parameters!I28="NN",0,IF(Parameters!I28 ="NY",0,IF(Parameters!I28="YN", Services_BiDirectionalExistingPlanning, IF(Parameters!I28="YY", Services_BiDirectionalNewPlanning,0))))</f>
        <v>0</v>
      </c>
      <c r="C19" s="159">
        <f t="shared" si="5"/>
        <v>0</v>
      </c>
      <c r="D19" s="277">
        <f t="shared" si="6"/>
        <v>0</v>
      </c>
      <c r="E19" s="197"/>
      <c r="F19" s="219">
        <f>IF(Parameters!I28="NN",0,IF(Parameters!I28 ="NY",0,IF(Parameters!I28="YN", Services_BiDirectionalExistingImpl, IF(Parameters!I28="YY", Services_BiDirectionalNewImpl,0))))</f>
        <v>0</v>
      </c>
      <c r="G19" s="193">
        <f t="shared" si="7"/>
        <v>0</v>
      </c>
      <c r="H19" s="221">
        <f t="shared" si="8"/>
        <v>0</v>
      </c>
      <c r="I19" s="197"/>
      <c r="J19" s="288">
        <f>IF(Parameters!P27="NN",0,IF(Parameters!P27 ="NY",0,IF(Parameters!P27="YN", 'Variables-Services'!#REF!, IF(Parameters!P27="YY", 'Variables-Services'!#REF!,0))))</f>
        <v>0</v>
      </c>
      <c r="K19" s="159">
        <f t="shared" si="2"/>
        <v>0</v>
      </c>
      <c r="L19" s="277">
        <f t="shared" ref="L19:L28" si="9">IF(K19&gt;0,(K19*Services_HourlyRate),0)</f>
        <v>0</v>
      </c>
      <c r="M19" s="282"/>
    </row>
    <row r="20" spans="1:13">
      <c r="A20" s="9" t="str">
        <f>IF(Parameters!B29="Y", Parameters!A29&amp;Parameters!G29, "")</f>
        <v/>
      </c>
      <c r="B20" s="276">
        <f>IF(Parameters!I29="NN",0,IF(Parameters!I29 ="NY",0,IF(Parameters!I29="YN", Services_BiDirectionalExistingPlanning, IF(Parameters!I29="YY", Services_BiDirectionalNewPlanning,0))))</f>
        <v>0</v>
      </c>
      <c r="C20" s="159">
        <f t="shared" si="5"/>
        <v>0</v>
      </c>
      <c r="D20" s="277">
        <f t="shared" si="6"/>
        <v>0</v>
      </c>
      <c r="E20" s="197"/>
      <c r="F20" s="219">
        <f>IF(Parameters!I29="NN",0,IF(Parameters!I29 ="NY",0,IF(Parameters!I29="YN", Services_BiDirectionalExistingImpl, IF(Parameters!I29="YY", Services_BiDirectionalNewImpl,0))))</f>
        <v>0</v>
      </c>
      <c r="G20" s="193">
        <f t="shared" si="7"/>
        <v>0</v>
      </c>
      <c r="H20" s="221">
        <f t="shared" si="8"/>
        <v>0</v>
      </c>
      <c r="I20" s="197"/>
      <c r="J20" s="288">
        <f>IF(Parameters!P28="NN",0,IF(Parameters!P28 ="NY",0,IF(Parameters!P28="YN", 'Variables-Services'!#REF!, IF(Parameters!P28="YY", 'Variables-Services'!#REF!,0))))</f>
        <v>0</v>
      </c>
      <c r="K20" s="159">
        <f t="shared" si="2"/>
        <v>0</v>
      </c>
      <c r="L20" s="277">
        <f t="shared" si="9"/>
        <v>0</v>
      </c>
      <c r="M20" s="282"/>
    </row>
    <row r="21" spans="1:13">
      <c r="A21" s="9" t="str">
        <f>IF(Parameters!B30="Y", Parameters!A30&amp;Parameters!G30, "")</f>
        <v/>
      </c>
      <c r="B21" s="276">
        <f>IF(Parameters!I30="NN",0,IF(Parameters!I30 ="NY",0,IF(Parameters!I30="YN", Services_BiDirectionalExistingPlanning, IF(Parameters!I30="YY", Services_BiDirectionalNewPlanning,0))))</f>
        <v>0</v>
      </c>
      <c r="C21" s="159">
        <f t="shared" si="5"/>
        <v>0</v>
      </c>
      <c r="D21" s="277">
        <f t="shared" si="6"/>
        <v>0</v>
      </c>
      <c r="E21" s="197"/>
      <c r="F21" s="219">
        <f>IF(Parameters!I30="NN",0,IF(Parameters!I30 ="NY",0,IF(Parameters!I30="YN", Services_BiDirectionalExistingImpl, IF(Parameters!I30="YY", Services_BiDirectionalNewImpl,0))))</f>
        <v>0</v>
      </c>
      <c r="G21" s="193">
        <f t="shared" si="7"/>
        <v>0</v>
      </c>
      <c r="H21" s="221">
        <f t="shared" si="8"/>
        <v>0</v>
      </c>
      <c r="I21" s="197"/>
      <c r="J21" s="288">
        <f>IF(Parameters!Q43="NN",0,IF(Parameters!Q43 ="NY",0,IF(Parameters!Q43="YN", 'Variables-Services'!L25, IF(Parameters!Q43="YY", 'Variables-Services'!L26,0))))</f>
        <v>0</v>
      </c>
      <c r="K21" s="159">
        <f t="shared" si="2"/>
        <v>0</v>
      </c>
      <c r="L21" s="277">
        <f t="shared" si="9"/>
        <v>0</v>
      </c>
      <c r="M21" s="282"/>
    </row>
    <row r="22" spans="1:13">
      <c r="A22" s="9" t="str">
        <f>IF(Parameters!B31="Y", Parameters!A31&amp;Parameters!G31, "")</f>
        <v/>
      </c>
      <c r="B22" s="276">
        <f>IF(Parameters!I31="NN",0,IF(Parameters!I31 ="NY",0,IF(Parameters!I31="YN", Services_BiDirectionalExistingPlanning, IF(Parameters!I31="YY", Services_BiDirectionalNewPlanning,0))))</f>
        <v>0</v>
      </c>
      <c r="C22" s="159">
        <f t="shared" si="5"/>
        <v>0</v>
      </c>
      <c r="D22" s="277">
        <f t="shared" si="6"/>
        <v>0</v>
      </c>
      <c r="E22" s="197"/>
      <c r="F22" s="219">
        <f>IF(Parameters!I31="NN",0,IF(Parameters!I31 ="NY",0,IF(Parameters!I31="YN", Services_BiDirectionalExistingImpl, IF(Parameters!I31="YY", Services_BiDirectionalNewImpl,0))))</f>
        <v>0</v>
      </c>
      <c r="G22" s="193">
        <f t="shared" si="7"/>
        <v>0</v>
      </c>
      <c r="H22" s="221">
        <f t="shared" si="8"/>
        <v>0</v>
      </c>
      <c r="I22" s="197"/>
      <c r="J22" s="288">
        <f>IF(Parameters!Q44="NN",0,IF(Parameters!Q44 ="NY",0,IF(Parameters!Q44="YN", 'Variables-Services'!#REF!, IF(Parameters!Q44="YY", 'Variables-Services'!#REF!,0))))</f>
        <v>0</v>
      </c>
      <c r="K22" s="159">
        <f t="shared" si="2"/>
        <v>0</v>
      </c>
      <c r="L22" s="277">
        <f t="shared" si="9"/>
        <v>0</v>
      </c>
      <c r="M22" s="282"/>
    </row>
    <row r="23" spans="1:13">
      <c r="A23" s="9" t="str">
        <f>IF(Parameters!B32="Y", Parameters!A32&amp;Parameters!G32, "")</f>
        <v/>
      </c>
      <c r="B23" s="276">
        <f>IF(Parameters!I32="NN",0,IF(Parameters!I32 ="NY",0,IF(Parameters!I32="YN", Services_BiDirectionalExistingPlanning, IF(Parameters!I32="YY", Services_BiDirectionalNewPlanning,0))))</f>
        <v>0</v>
      </c>
      <c r="C23" s="159">
        <f t="shared" si="5"/>
        <v>0</v>
      </c>
      <c r="D23" s="277">
        <f t="shared" si="6"/>
        <v>0</v>
      </c>
      <c r="E23" s="197"/>
      <c r="F23" s="219">
        <f>IF(Parameters!I32="NN",0,IF(Parameters!I32 ="NY",0,IF(Parameters!I32="YN", Services_BiDirectionalExistingImpl, IF(Parameters!I32="YY", Services_BiDirectionalNewImpl,0))))</f>
        <v>0</v>
      </c>
      <c r="G23" s="193">
        <f t="shared" si="7"/>
        <v>0</v>
      </c>
      <c r="H23" s="221">
        <f t="shared" si="8"/>
        <v>0</v>
      </c>
      <c r="I23" s="197"/>
      <c r="J23" s="288">
        <f>IF(Parameters!Q45="NN",0,IF(Parameters!Q45 ="NY",0,IF(Parameters!Q45="YN", 'Variables-Services'!#REF!, IF(Parameters!Q45="YY", 'Variables-Services'!#REF!,0))))</f>
        <v>0</v>
      </c>
      <c r="K23" s="159">
        <f t="shared" si="2"/>
        <v>0</v>
      </c>
      <c r="L23" s="277">
        <f t="shared" si="9"/>
        <v>0</v>
      </c>
      <c r="M23" s="282"/>
    </row>
    <row r="24" spans="1:13">
      <c r="A24" s="9" t="str">
        <f>IF(Parameters!B33="Y", Parameters!A33&amp;Parameters!G33, "")</f>
        <v/>
      </c>
      <c r="B24" s="276">
        <f>IF(Parameters!I33="NN",0,IF(Parameters!I33 ="NY",0,IF(Parameters!I33="YN", Services_BiDirectionalExistingPlanning, IF(Parameters!I33="YY", Services_BiDirectionalNewPlanning,0))))</f>
        <v>0</v>
      </c>
      <c r="C24" s="159">
        <f t="shared" si="5"/>
        <v>0</v>
      </c>
      <c r="D24" s="277">
        <f t="shared" si="6"/>
        <v>0</v>
      </c>
      <c r="E24" s="197"/>
      <c r="F24" s="219">
        <f>IF(Parameters!I33="NN",0,IF(Parameters!I33 ="NY",0,IF(Parameters!I33="YN", Services_BiDirectionalExistingImpl, IF(Parameters!I33="YY", Services_BiDirectionalNewImpl,0))))</f>
        <v>0</v>
      </c>
      <c r="G24" s="193">
        <f t="shared" si="7"/>
        <v>0</v>
      </c>
      <c r="H24" s="221">
        <f t="shared" si="8"/>
        <v>0</v>
      </c>
      <c r="I24" s="197"/>
      <c r="J24" s="288">
        <f>IF(Parameters!Q46="NN",0,IF(Parameters!Q46 ="NY",0,IF(Parameters!Q46="YN", 'Variables-Services'!#REF!, IF(Parameters!Q46="YY", 'Variables-Services'!#REF!,0))))</f>
        <v>0</v>
      </c>
      <c r="K24" s="159">
        <f t="shared" si="2"/>
        <v>0</v>
      </c>
      <c r="L24" s="277">
        <f t="shared" si="9"/>
        <v>0</v>
      </c>
      <c r="M24" s="282"/>
    </row>
    <row r="25" spans="1:13">
      <c r="A25" s="9" t="str">
        <f>IF(Parameters!B34="Y", Parameters!A34&amp;Parameters!G34, "")</f>
        <v/>
      </c>
      <c r="B25" s="276">
        <f>IF(Parameters!I34="NN",0,IF(Parameters!I34 ="NY",0,IF(Parameters!I34="YN", Services_BiDirectionalExistingPlanning, IF(Parameters!I34="YY", Services_BiDirectionalNewPlanning,0))))</f>
        <v>0</v>
      </c>
      <c r="C25" s="159">
        <f t="shared" si="5"/>
        <v>0</v>
      </c>
      <c r="D25" s="277">
        <f t="shared" si="6"/>
        <v>0</v>
      </c>
      <c r="E25" s="197"/>
      <c r="F25" s="219">
        <f>IF(Parameters!I34="NN",0,IF(Parameters!I34 ="NY",0,IF(Parameters!I34="YN", Services_BiDirectionalExistingImpl, IF(Parameters!I34="YY", Services_BiDirectionalNewImpl,0))))</f>
        <v>0</v>
      </c>
      <c r="G25" s="193">
        <f t="shared" si="7"/>
        <v>0</v>
      </c>
      <c r="H25" s="221">
        <f t="shared" si="8"/>
        <v>0</v>
      </c>
      <c r="I25" s="197"/>
      <c r="J25" s="288">
        <f>IF(Parameters!Q47="NN",0,IF(Parameters!Q47 ="NY",0,IF(Parameters!Q47="YN", 'Variables-Services'!#REF!, IF(Parameters!Q47="YY", 'Variables-Services'!#REF!,0))))</f>
        <v>0</v>
      </c>
      <c r="K25" s="159">
        <f t="shared" si="2"/>
        <v>0</v>
      </c>
      <c r="L25" s="277">
        <f t="shared" si="9"/>
        <v>0</v>
      </c>
      <c r="M25" s="282"/>
    </row>
    <row r="26" spans="1:13">
      <c r="A26" s="9" t="str">
        <f>IF(Parameters!B35="Y", Parameters!A35&amp;Parameters!G35, "")</f>
        <v/>
      </c>
      <c r="B26" s="276">
        <f>IF(Parameters!I35="NN",0,IF(Parameters!I35 ="NY",0,IF(Parameters!I35="YN", Services_BiDirectionalExistingPlanning, IF(Parameters!I35="YY", Services_BiDirectionalNewPlanning,0))))</f>
        <v>0</v>
      </c>
      <c r="C26" s="159">
        <f t="shared" ref="C26:C30" si="10">B26</f>
        <v>0</v>
      </c>
      <c r="D26" s="277">
        <f t="shared" ref="D26:D30" si="11">IF(C26&gt;0,(C26*Services_HourlyRate),0)</f>
        <v>0</v>
      </c>
      <c r="E26" s="197"/>
      <c r="F26" s="219">
        <f>IF(Parameters!I35="NN",0,IF(Parameters!I35 ="NY",0,IF(Parameters!I35="YN", Services_BiDirectionalExistingImpl, IF(Parameters!I35="YY", Services_BiDirectionalNewImpl,0))))</f>
        <v>0</v>
      </c>
      <c r="G26" s="193">
        <f t="shared" ref="G26:G30" si="12">F26</f>
        <v>0</v>
      </c>
      <c r="H26" s="221">
        <f t="shared" ref="H26:H30" si="13">IF(G26&gt;0,(G26*Services_HourlyRate),0)</f>
        <v>0</v>
      </c>
      <c r="I26" s="197"/>
      <c r="J26" s="288">
        <f>IF(Parameters!Q48="NN",0,IF(Parameters!Q48 ="NY",0,IF(Parameters!Q48="YN", 'Variables-Services'!#REF!, IF(Parameters!Q48="YY", 'Variables-Services'!#REF!,0))))</f>
        <v>0</v>
      </c>
      <c r="K26" s="159">
        <f t="shared" si="2"/>
        <v>0</v>
      </c>
      <c r="L26" s="277">
        <f t="shared" si="9"/>
        <v>0</v>
      </c>
      <c r="M26" s="282"/>
    </row>
    <row r="27" spans="1:13">
      <c r="A27" s="9" t="str">
        <f>IF(Parameters!B36="Y", Parameters!A36&amp;Parameters!G36, "")</f>
        <v/>
      </c>
      <c r="B27" s="276">
        <f>IF(Parameters!I36="NN",0,IF(Parameters!I36 ="NY",0,IF(Parameters!I36="YN", Services_BiDirectionalExistingPlanning, IF(Parameters!I36="YY", Services_BiDirectionalNewPlanning,0))))</f>
        <v>0</v>
      </c>
      <c r="C27" s="159">
        <f t="shared" si="10"/>
        <v>0</v>
      </c>
      <c r="D27" s="277">
        <f t="shared" si="11"/>
        <v>0</v>
      </c>
      <c r="E27" s="197"/>
      <c r="F27" s="219">
        <f>IF(Parameters!I36="NN",0,IF(Parameters!I36 ="NY",0,IF(Parameters!I36="YN", Services_BiDirectionalExistingImpl, IF(Parameters!I36="YY", Services_BiDirectionalNewImpl,0))))</f>
        <v>0</v>
      </c>
      <c r="G27" s="193">
        <f t="shared" si="12"/>
        <v>0</v>
      </c>
      <c r="H27" s="221">
        <f t="shared" si="13"/>
        <v>0</v>
      </c>
      <c r="I27" s="197"/>
      <c r="J27" s="288">
        <f>IF(Parameters!Q49="NN",0,IF(Parameters!Q49 ="NY",0,IF(Parameters!Q49="YN", 'Variables-Services'!#REF!, IF(Parameters!Q49="YY", 'Variables-Services'!L33,0))))</f>
        <v>0</v>
      </c>
      <c r="K27" s="159">
        <f t="shared" si="2"/>
        <v>0</v>
      </c>
      <c r="L27" s="277">
        <f t="shared" si="9"/>
        <v>0</v>
      </c>
      <c r="M27" s="282"/>
    </row>
    <row r="28" spans="1:13">
      <c r="A28" s="9" t="str">
        <f>IF(Parameters!B37="Y", Parameters!A37&amp;Parameters!G37, "")</f>
        <v/>
      </c>
      <c r="B28" s="276">
        <f>IF(Parameters!I37="NN",0,IF(Parameters!I37 ="NY",0,IF(Parameters!I37="YN", Services_BiDirectionalExistingPlanning, IF(Parameters!I37="YY", Services_BiDirectionalNewPlanning,0))))</f>
        <v>0</v>
      </c>
      <c r="C28" s="159">
        <f t="shared" si="10"/>
        <v>0</v>
      </c>
      <c r="D28" s="277">
        <f t="shared" si="11"/>
        <v>0</v>
      </c>
      <c r="E28" s="197"/>
      <c r="F28" s="219">
        <f>IF(Parameters!I37="NN",0,IF(Parameters!I37 ="NY",0,IF(Parameters!I37="YN", Services_BiDirectionalExistingImpl, IF(Parameters!I37="YY", Services_BiDirectionalNewImpl,0))))</f>
        <v>0</v>
      </c>
      <c r="G28" s="193">
        <f t="shared" si="12"/>
        <v>0</v>
      </c>
      <c r="H28" s="221">
        <f t="shared" si="13"/>
        <v>0</v>
      </c>
      <c r="I28" s="197"/>
      <c r="J28" s="288">
        <f>IF(Parameters!Q50="NN",0,IF(Parameters!Q50 ="NY",0,IF(Parameters!Q50="YN", 'Variables-Services'!L33, IF(Parameters!Q50="YY", 'Variables-Services'!L34,0))))</f>
        <v>0</v>
      </c>
      <c r="K28" s="159">
        <f t="shared" si="2"/>
        <v>0</v>
      </c>
      <c r="L28" s="277">
        <f t="shared" si="9"/>
        <v>0</v>
      </c>
      <c r="M28" s="282"/>
    </row>
    <row r="29" spans="1:13">
      <c r="A29" s="9" t="str">
        <f>IF(Parameters!B38="Y", Parameters!A38&amp;Parameters!G38, "")</f>
        <v/>
      </c>
      <c r="B29" s="276">
        <f>IF(Parameters!I38="NN",0,IF(Parameters!I38 ="NY",0,IF(Parameters!I38="YN", Services_BiDirectionalExistingPlanning, IF(Parameters!I38="YY", Services_BiDirectionalNewPlanning,0))))</f>
        <v>0</v>
      </c>
      <c r="C29" s="159">
        <f t="shared" si="10"/>
        <v>0</v>
      </c>
      <c r="D29" s="277">
        <f t="shared" si="11"/>
        <v>0</v>
      </c>
      <c r="E29" s="197"/>
      <c r="F29" s="219">
        <f>IF(Parameters!I38="NN",0,IF(Parameters!I38 ="NY",0,IF(Parameters!I38="YN", Services_BiDirectionalExistingImpl, IF(Parameters!I38="YY", Services_BiDirectionalNewImpl,0))))</f>
        <v>0</v>
      </c>
      <c r="G29" s="193">
        <f t="shared" si="12"/>
        <v>0</v>
      </c>
      <c r="H29" s="221">
        <f t="shared" si="13"/>
        <v>0</v>
      </c>
      <c r="I29" s="197"/>
      <c r="J29" s="288"/>
      <c r="K29" s="31"/>
      <c r="L29" s="277"/>
      <c r="M29" s="282"/>
    </row>
    <row r="30" spans="1:13">
      <c r="A30" s="9" t="str">
        <f>IF(Parameters!B39="Y", Parameters!A39&amp;Parameters!G39, "")</f>
        <v/>
      </c>
      <c r="B30" s="276">
        <f>IF(Parameters!I39="NN",0,IF(Parameters!I39 ="NY",0,IF(Parameters!I39="YN", Services_BiDirectionalExistingPlanning, IF(Parameters!I39="YY", Services_BiDirectionalNewPlanning,0))))</f>
        <v>0</v>
      </c>
      <c r="C30" s="159">
        <f t="shared" si="10"/>
        <v>0</v>
      </c>
      <c r="D30" s="277">
        <f t="shared" si="11"/>
        <v>0</v>
      </c>
      <c r="E30" s="197"/>
      <c r="F30" s="219">
        <f>IF(Parameters!I39="NN",0,IF(Parameters!I39 ="NY",0,IF(Parameters!I39="YN", Services_BiDirectionalExistingImpl, IF(Parameters!I39="YY", Services_BiDirectionalNewImpl,0))))</f>
        <v>0</v>
      </c>
      <c r="G30" s="193">
        <f t="shared" si="12"/>
        <v>0</v>
      </c>
      <c r="H30" s="221">
        <f t="shared" si="13"/>
        <v>0</v>
      </c>
      <c r="I30" s="197"/>
      <c r="J30" s="288"/>
      <c r="K30" s="31"/>
      <c r="L30" s="277"/>
      <c r="M30" s="282"/>
    </row>
    <row r="31" spans="1:13">
      <c r="A31" s="9" t="str">
        <f>IF(Parameters!B45="Y", Parameters!A45&amp;Parameters!G45, "")</f>
        <v xml:space="preserve">         Payment Import - ????</v>
      </c>
      <c r="B31" s="276">
        <f>IF(Parameters!I45="NN",0,IF(Parameters!I45 ="NY",0,IF(Parameters!I45="YN", Services_PaymentImportExisting, IF(Parameters!I45="YY", Services_PaymentImportNew,0))))</f>
        <v>8</v>
      </c>
      <c r="C31" s="159">
        <f t="shared" si="0"/>
        <v>8</v>
      </c>
      <c r="D31" s="277">
        <f t="shared" si="3"/>
        <v>1840</v>
      </c>
      <c r="E31" s="197"/>
      <c r="F31" s="219">
        <f>IF(Parameters!I45="NN",0,IF(Parameters!I45 ="NY",0,IF(Parameters!I45="YN", Services_PaymentImportExistingImpl, IF(Parameters!I45="YY", Services_PaymentImportNewImpl,0))))</f>
        <v>16</v>
      </c>
      <c r="G31" s="193">
        <f t="shared" si="1"/>
        <v>16</v>
      </c>
      <c r="H31" s="221">
        <f t="shared" si="4"/>
        <v>3680</v>
      </c>
      <c r="I31" s="197"/>
      <c r="J31" s="288"/>
      <c r="K31" s="31"/>
      <c r="L31" s="277"/>
      <c r="M31" s="282"/>
    </row>
    <row r="32" spans="1:13" ht="14.65" thickBot="1">
      <c r="A32" s="9" t="str">
        <f>IF(Parameters!B46="Y", Parameters!A46&amp;Parameters!G46, "")</f>
        <v xml:space="preserve">         Payment Import - ????</v>
      </c>
      <c r="B32" s="276">
        <f>IF(Parameters!I46="NN",0,IF(Parameters!I46 ="NY",0,IF(Parameters!I46="YN", Services_PaymentImportExisting, IF(Parameters!I46="YY", Services_PaymentImportNew,0))))</f>
        <v>8</v>
      </c>
      <c r="C32" s="159">
        <f t="shared" ref="C32:C45" si="14">B32</f>
        <v>8</v>
      </c>
      <c r="D32" s="277">
        <f t="shared" ref="D32:D45" si="15">IF(C32&gt;0,(C32*Services_HourlyRate),0)</f>
        <v>1840</v>
      </c>
      <c r="E32" s="197"/>
      <c r="F32" s="219">
        <f>IF(Parameters!I46="NN",0,IF(Parameters!I46 ="NY",0,IF(Parameters!I46="YN", Services_PaymentImportExistingImpl, IF(Parameters!I46="YY", Services_PaymentImportNewImpl,0))))</f>
        <v>16</v>
      </c>
      <c r="G32" s="193">
        <f t="shared" ref="G32:G45" si="16">F32</f>
        <v>16</v>
      </c>
      <c r="H32" s="221">
        <f t="shared" ref="H32:H45" si="17">IF(G32&gt;0,(G32*Services_HourlyRate),0)</f>
        <v>3680</v>
      </c>
      <c r="I32" s="198" t="s">
        <v>6</v>
      </c>
      <c r="J32" s="224">
        <f>SUM(J10:J29)</f>
        <v>96</v>
      </c>
      <c r="K32" s="214">
        <f>SUM(K10:K29)</f>
        <v>120</v>
      </c>
      <c r="L32" s="79">
        <f>SUM(L10:L29)</f>
        <v>27600</v>
      </c>
      <c r="M32" s="282"/>
    </row>
    <row r="33" spans="1:13" ht="14.65" thickTop="1">
      <c r="A33" s="9" t="str">
        <f>IF(Parameters!B47="Y", Parameters!A47&amp;Parameters!G47, "")</f>
        <v/>
      </c>
      <c r="B33" s="276">
        <f>IF(Parameters!I47="NN",0,IF(Parameters!I47 ="NY",0,IF(Parameters!I47="YN", Services_PaymentImportExisting, IF(Parameters!I47="YY", Services_PaymentImportNew,0))))</f>
        <v>0</v>
      </c>
      <c r="C33" s="159">
        <f t="shared" si="14"/>
        <v>0</v>
      </c>
      <c r="D33" s="277">
        <f t="shared" si="15"/>
        <v>0</v>
      </c>
      <c r="E33" s="197"/>
      <c r="F33" s="219">
        <f>IF(Parameters!I47="NN",0,IF(Parameters!I47 ="NY",0,IF(Parameters!I47="YN", Services_PaymentImportExistingImpl, IF(Parameters!I47="YY", Services_PaymentImportNewImpl,0))))</f>
        <v>0</v>
      </c>
      <c r="G33" s="193">
        <f t="shared" si="16"/>
        <v>0</v>
      </c>
      <c r="H33" s="221">
        <f t="shared" si="17"/>
        <v>0</v>
      </c>
      <c r="M33" s="144" t="s">
        <v>6</v>
      </c>
    </row>
    <row r="34" spans="1:13">
      <c r="A34" s="9" t="str">
        <f>IF(Parameters!B48="Y", Parameters!A48&amp;Parameters!G48, "")</f>
        <v/>
      </c>
      <c r="B34" s="276">
        <f>IF(Parameters!I48="NN",0,IF(Parameters!I48 ="NY",0,IF(Parameters!I48="YN", Services_PaymentImportExisting, IF(Parameters!I48="YY", Services_PaymentImportNew,0))))</f>
        <v>0</v>
      </c>
      <c r="C34" s="159">
        <f t="shared" si="14"/>
        <v>0</v>
      </c>
      <c r="D34" s="277">
        <f t="shared" si="15"/>
        <v>0</v>
      </c>
      <c r="E34" s="197"/>
      <c r="F34" s="219">
        <f>IF(Parameters!I48="NN",0,IF(Parameters!I48 ="NY",0,IF(Parameters!I48="YN", Services_PaymentImportExistingImpl, IF(Parameters!I48="YY", Services_PaymentImportNewImpl,0))))</f>
        <v>0</v>
      </c>
      <c r="G34" s="193">
        <f t="shared" si="16"/>
        <v>0</v>
      </c>
      <c r="H34" s="221">
        <f t="shared" si="17"/>
        <v>0</v>
      </c>
      <c r="J34" t="s">
        <v>170</v>
      </c>
      <c r="K34">
        <v>0</v>
      </c>
      <c r="L34" s="269">
        <f>SUM((D49+H49+L32)*K34)</f>
        <v>0</v>
      </c>
    </row>
    <row r="35" spans="1:13">
      <c r="A35" s="9" t="str">
        <f>IF(Parameters!B49="Y", Parameters!A49&amp;Parameters!G49, "")</f>
        <v/>
      </c>
      <c r="B35" s="276">
        <f>IF(Parameters!I49="NN",0,IF(Parameters!I49 ="NY",0,IF(Parameters!I49="YN", Services_PaymentImportExisting, IF(Parameters!I49="YY", Services_PaymentImportNew,0))))</f>
        <v>0</v>
      </c>
      <c r="C35" s="159">
        <f t="shared" si="14"/>
        <v>0</v>
      </c>
      <c r="D35" s="277">
        <f t="shared" si="15"/>
        <v>0</v>
      </c>
      <c r="E35" s="197"/>
      <c r="F35" s="219">
        <f>IF(Parameters!I49="NN",0,IF(Parameters!I49 ="NY",0,IF(Parameters!I49="YN", Services_PaymentImportExistingImpl, IF(Parameters!I49="YY", Services_PaymentImportNewImpl,0))))</f>
        <v>0</v>
      </c>
      <c r="G35" s="193">
        <f t="shared" si="16"/>
        <v>0</v>
      </c>
      <c r="H35" s="221">
        <f t="shared" si="17"/>
        <v>0</v>
      </c>
    </row>
    <row r="36" spans="1:13">
      <c r="A36" s="9" t="str">
        <f>IF(Parameters!B50="Y", Parameters!A50&amp;Parameters!G50, "")</f>
        <v/>
      </c>
      <c r="B36" s="276">
        <f>IF(Parameters!I50="NN",0,IF(Parameters!I50 ="NY",0,IF(Parameters!I50="YN", Services_PaymentImportExisting, IF(Parameters!I50="YY", Services_PaymentImportNew,0))))</f>
        <v>0</v>
      </c>
      <c r="C36" s="159">
        <f t="shared" si="14"/>
        <v>0</v>
      </c>
      <c r="D36" s="277">
        <f t="shared" si="15"/>
        <v>0</v>
      </c>
      <c r="E36" s="197"/>
      <c r="F36" s="219">
        <f>IF(Parameters!I50="NN",0,IF(Parameters!I50 ="NY",0,IF(Parameters!I50="YN", Services_PaymentImportExistingImpl, IF(Parameters!I50="YY", Services_PaymentImportNewImpl,0))))</f>
        <v>0</v>
      </c>
      <c r="G36" s="193">
        <f t="shared" si="16"/>
        <v>0</v>
      </c>
      <c r="H36" s="221">
        <f t="shared" si="17"/>
        <v>0</v>
      </c>
    </row>
    <row r="37" spans="1:13">
      <c r="A37" s="9" t="str">
        <f>IF(Parameters!B51="Y", Parameters!A51&amp;Parameters!G51, "")</f>
        <v/>
      </c>
      <c r="B37" s="276">
        <f>IF(Parameters!I51="NN",0,IF(Parameters!I51 ="NY",0,IF(Parameters!I51="YN", Services_PaymentImportExisting, IF(Parameters!I51="YY", Services_PaymentImportNew,0))))</f>
        <v>0</v>
      </c>
      <c r="C37" s="159">
        <f t="shared" si="14"/>
        <v>0</v>
      </c>
      <c r="D37" s="277">
        <f t="shared" si="15"/>
        <v>0</v>
      </c>
      <c r="E37" s="197"/>
      <c r="F37" s="219">
        <f>IF(Parameters!I51="NN",0,IF(Parameters!I51 ="NY",0,IF(Parameters!I51="YN", Services_PaymentImportExistingImpl, IF(Parameters!I51="YY", Services_PaymentImportNewImpl,0))))</f>
        <v>0</v>
      </c>
      <c r="G37" s="193">
        <f t="shared" si="16"/>
        <v>0</v>
      </c>
      <c r="H37" s="221">
        <f t="shared" si="17"/>
        <v>0</v>
      </c>
    </row>
    <row r="38" spans="1:13">
      <c r="A38" s="9" t="str">
        <f>IF(Parameters!B52="Y", Parameters!A52&amp;Parameters!G52, "")</f>
        <v/>
      </c>
      <c r="B38" s="276">
        <f>IF(Parameters!I52="NN",0,IF(Parameters!I52 ="NY",0,IF(Parameters!I52="YN", Services_PaymentImportExisting, IF(Parameters!I52="YY", Services_PaymentImportNew,0))))</f>
        <v>0</v>
      </c>
      <c r="C38" s="159">
        <f t="shared" si="14"/>
        <v>0</v>
      </c>
      <c r="D38" s="277">
        <f t="shared" si="15"/>
        <v>0</v>
      </c>
      <c r="E38" s="197"/>
      <c r="F38" s="219">
        <f>IF(Parameters!I52="NN",0,IF(Parameters!I52 ="NY",0,IF(Parameters!I52="YN", Services_PaymentImportExistingImpl, IF(Parameters!I52="YY", Services_PaymentImportNewImpl,0))))</f>
        <v>0</v>
      </c>
      <c r="G38" s="193">
        <f t="shared" si="16"/>
        <v>0</v>
      </c>
      <c r="H38" s="221">
        <f t="shared" si="17"/>
        <v>0</v>
      </c>
    </row>
    <row r="39" spans="1:13">
      <c r="A39" s="9" t="str">
        <f>IF(Parameters!B53="Y", Parameters!A53&amp;Parameters!G53, "")</f>
        <v/>
      </c>
      <c r="B39" s="276">
        <f>IF(Parameters!I53="NN",0,IF(Parameters!I53 ="NY",0,IF(Parameters!I53="YN", Services_PaymentImportExisting, IF(Parameters!I53="YY", Services_PaymentImportNew,0))))</f>
        <v>0</v>
      </c>
      <c r="C39" s="159">
        <f t="shared" si="14"/>
        <v>0</v>
      </c>
      <c r="D39" s="277">
        <f t="shared" si="15"/>
        <v>0</v>
      </c>
      <c r="E39" s="197"/>
      <c r="F39" s="219">
        <f>IF(Parameters!I53="NN",0,IF(Parameters!I53 ="NY",0,IF(Parameters!I53="YN", Services_PaymentImportExistingImpl, IF(Parameters!I53="YY", Services_PaymentImportNewImpl,0))))</f>
        <v>0</v>
      </c>
      <c r="G39" s="193">
        <f t="shared" si="16"/>
        <v>0</v>
      </c>
      <c r="H39" s="221">
        <f t="shared" si="17"/>
        <v>0</v>
      </c>
    </row>
    <row r="40" spans="1:13">
      <c r="A40" s="9" t="str">
        <f>IF(Parameters!B54="Y", Parameters!A54&amp;Parameters!G54, "")</f>
        <v/>
      </c>
      <c r="B40" s="276">
        <f>IF(Parameters!I54="NN",0,IF(Parameters!I54 ="NY",0,IF(Parameters!I54="YN", Services_PaymentImportExisting, IF(Parameters!I54="YY", Services_PaymentImportNew,0))))</f>
        <v>0</v>
      </c>
      <c r="C40" s="159">
        <f t="shared" si="14"/>
        <v>0</v>
      </c>
      <c r="D40" s="277">
        <f t="shared" si="15"/>
        <v>0</v>
      </c>
      <c r="E40" s="197"/>
      <c r="F40" s="219">
        <f>IF(Parameters!I54="NN",0,IF(Parameters!I54 ="NY",0,IF(Parameters!I54="YN", Services_PaymentImportExistingImpl, IF(Parameters!I54="YY", Services_PaymentImportNewImpl,0))))</f>
        <v>0</v>
      </c>
      <c r="G40" s="193">
        <f t="shared" si="16"/>
        <v>0</v>
      </c>
      <c r="H40" s="221">
        <f t="shared" si="17"/>
        <v>0</v>
      </c>
    </row>
    <row r="41" spans="1:13">
      <c r="A41" s="9" t="str">
        <f>IF(Parameters!B55="Y", Parameters!A55&amp;Parameters!G55, "")</f>
        <v/>
      </c>
      <c r="B41" s="276">
        <f>IF(Parameters!I55="NN",0,IF(Parameters!I55 ="NY",0,IF(Parameters!I55="YN", Services_PaymentImportExisting, IF(Parameters!I55="YY", Services_PaymentImportNew,0))))</f>
        <v>0</v>
      </c>
      <c r="C41" s="159">
        <f t="shared" si="14"/>
        <v>0</v>
      </c>
      <c r="D41" s="277">
        <f t="shared" si="15"/>
        <v>0</v>
      </c>
      <c r="E41" s="197"/>
      <c r="F41" s="219">
        <f>IF(Parameters!I55="NN",0,IF(Parameters!I55 ="NY",0,IF(Parameters!I55="YN", Services_PaymentImportExistingImpl, IF(Parameters!I55="YY", Services_PaymentImportNewImpl,0))))</f>
        <v>0</v>
      </c>
      <c r="G41" s="193">
        <f t="shared" si="16"/>
        <v>0</v>
      </c>
      <c r="H41" s="221">
        <f t="shared" si="17"/>
        <v>0</v>
      </c>
    </row>
    <row r="42" spans="1:13" ht="14.85" customHeight="1">
      <c r="A42" s="9" t="str">
        <f>IF(Parameters!B56="Y", Parameters!A56&amp;Parameters!G56, "")</f>
        <v/>
      </c>
      <c r="B42" s="276">
        <f>IF(Parameters!I56="NN",0,IF(Parameters!I56 ="NY",0,IF(Parameters!I56="YN", Services_PaymentImportExisting, IF(Parameters!I56="YY", Services_PaymentImportNew,0))))</f>
        <v>0</v>
      </c>
      <c r="C42" s="159">
        <f t="shared" si="14"/>
        <v>0</v>
      </c>
      <c r="D42" s="277">
        <f t="shared" si="15"/>
        <v>0</v>
      </c>
      <c r="E42" s="197"/>
      <c r="F42" s="219">
        <f>IF(Parameters!I56="NN",0,IF(Parameters!I56 ="NY",0,IF(Parameters!I56="YN", Services_PaymentImportExistingImpl, IF(Parameters!I56="YY", Services_PaymentImportNewImpl,0))))</f>
        <v>0</v>
      </c>
      <c r="G42" s="193">
        <f t="shared" si="16"/>
        <v>0</v>
      </c>
      <c r="H42" s="221">
        <f t="shared" si="17"/>
        <v>0</v>
      </c>
    </row>
    <row r="43" spans="1:13">
      <c r="A43" s="9" t="str">
        <f>IF(Parameters!B57="Y", Parameters!A57&amp;Parameters!G57, "")</f>
        <v/>
      </c>
      <c r="B43" s="276">
        <f>IF(Parameters!I57="NN",0,IF(Parameters!I57 ="NY",0,IF(Parameters!I57="YN", Services_PaymentImportExisting, IF(Parameters!I57="YY", Services_PaymentImportNew,0))))</f>
        <v>0</v>
      </c>
      <c r="C43" s="159">
        <f t="shared" si="14"/>
        <v>0</v>
      </c>
      <c r="D43" s="277">
        <f t="shared" si="15"/>
        <v>0</v>
      </c>
      <c r="E43" s="197"/>
      <c r="F43" s="219">
        <f>IF(Parameters!I57="NN",0,IF(Parameters!I57 ="NY",0,IF(Parameters!I57="YN", Services_PaymentImportExistingImpl, IF(Parameters!I57="YY", Services_PaymentImportNewImpl,0))))</f>
        <v>0</v>
      </c>
      <c r="G43" s="193">
        <f t="shared" si="16"/>
        <v>0</v>
      </c>
      <c r="H43" s="221">
        <f t="shared" si="17"/>
        <v>0</v>
      </c>
    </row>
    <row r="44" spans="1:13">
      <c r="A44" s="9" t="str">
        <f>IF(Parameters!B58="Y", Parameters!A58&amp;Parameters!G58, "")</f>
        <v/>
      </c>
      <c r="B44" s="276">
        <f>IF(Parameters!I58="NN",0,IF(Parameters!I58 ="NY",0,IF(Parameters!I58="YN", Services_PaymentImportExisting, IF(Parameters!I58="YY", Services_PaymentImportNew,0))))</f>
        <v>0</v>
      </c>
      <c r="C44" s="159">
        <f t="shared" si="14"/>
        <v>0</v>
      </c>
      <c r="D44" s="277">
        <f t="shared" si="15"/>
        <v>0</v>
      </c>
      <c r="E44" s="197"/>
      <c r="F44" s="219">
        <f>IF(Parameters!I58="NN",0,IF(Parameters!I58 ="NY",0,IF(Parameters!I58="YN", Services_PaymentImportExistingImpl, IF(Parameters!I58="YY", Services_PaymentImportNewImpl,0))))</f>
        <v>0</v>
      </c>
      <c r="G44" s="193">
        <f t="shared" si="16"/>
        <v>0</v>
      </c>
      <c r="H44" s="221">
        <f t="shared" si="17"/>
        <v>0</v>
      </c>
    </row>
    <row r="45" spans="1:13">
      <c r="A45" s="9" t="str">
        <f>IF(Parameters!B59="Y", Parameters!A59&amp;Parameters!G59, "")</f>
        <v/>
      </c>
      <c r="B45" s="276">
        <f>IF(Parameters!I59="NN",0,IF(Parameters!I59 ="NY",0,IF(Parameters!I59="YN", Services_PaymentImportExisting, IF(Parameters!I59="YY", Services_PaymentImportNew,0))))</f>
        <v>0</v>
      </c>
      <c r="C45" s="159">
        <f t="shared" si="14"/>
        <v>0</v>
      </c>
      <c r="D45" s="277">
        <f t="shared" si="15"/>
        <v>0</v>
      </c>
      <c r="E45" s="197"/>
      <c r="F45" s="219">
        <f>IF(Parameters!I59="NN",0,IF(Parameters!I59 ="NY",0,IF(Parameters!I59="YN", Services_PaymentImportExistingImpl, IF(Parameters!I59="YY", Services_PaymentImportNewImpl,0))))</f>
        <v>0</v>
      </c>
      <c r="G45" s="193">
        <f t="shared" si="16"/>
        <v>0</v>
      </c>
      <c r="H45" s="221">
        <f t="shared" si="17"/>
        <v>0</v>
      </c>
    </row>
    <row r="46" spans="1:13">
      <c r="A46" s="9" t="s">
        <v>131</v>
      </c>
      <c r="B46" s="276">
        <v>0</v>
      </c>
      <c r="C46" s="159">
        <f t="shared" si="0"/>
        <v>0</v>
      </c>
      <c r="D46" s="275">
        <f>IF(C46&gt;0,(30*Services_HourlyRate),0)</f>
        <v>0</v>
      </c>
      <c r="E46" s="197"/>
      <c r="F46" s="223">
        <v>0</v>
      </c>
      <c r="G46" s="193">
        <f t="shared" si="1"/>
        <v>0</v>
      </c>
      <c r="H46" s="220">
        <f t="shared" si="4"/>
        <v>0</v>
      </c>
    </row>
    <row r="47" spans="1:13">
      <c r="A47" s="9" t="s">
        <v>132</v>
      </c>
      <c r="B47" s="276">
        <v>0</v>
      </c>
      <c r="C47" s="159">
        <f t="shared" si="0"/>
        <v>0</v>
      </c>
      <c r="D47" s="275">
        <f>IF(C47&gt;0,(C47*Services_HourlyRate),0)</f>
        <v>0</v>
      </c>
      <c r="E47" s="197"/>
      <c r="F47" s="223">
        <v>0</v>
      </c>
      <c r="G47" s="193">
        <f t="shared" si="1"/>
        <v>0</v>
      </c>
      <c r="H47" s="220">
        <f t="shared" si="4"/>
        <v>0</v>
      </c>
    </row>
    <row r="48" spans="1:13">
      <c r="A48" s="9" t="s">
        <v>133</v>
      </c>
      <c r="B48" s="276">
        <v>0</v>
      </c>
      <c r="C48" s="159">
        <f t="shared" si="0"/>
        <v>0</v>
      </c>
      <c r="D48" s="275">
        <f>IF(C48&gt;0,(C48*Services_HourlyRate),0)</f>
        <v>0</v>
      </c>
      <c r="E48" s="197"/>
      <c r="F48" s="223">
        <v>0</v>
      </c>
      <c r="G48" s="193">
        <f t="shared" si="1"/>
        <v>0</v>
      </c>
      <c r="H48" s="220">
        <f t="shared" si="4"/>
        <v>0</v>
      </c>
    </row>
    <row r="49" spans="1:8" ht="14.65" thickBot="1">
      <c r="A49" s="271" t="s">
        <v>134</v>
      </c>
      <c r="B49" s="278">
        <f>SUM(B6:B48)</f>
        <v>144</v>
      </c>
      <c r="C49" s="279">
        <f>SUM(C6:C48)</f>
        <v>144</v>
      </c>
      <c r="D49" s="280">
        <f>SUM(D6:D48)</f>
        <v>33120</v>
      </c>
      <c r="E49" s="198" t="s">
        <v>6</v>
      </c>
      <c r="F49" s="224">
        <f>SUM(F6:F48)</f>
        <v>312</v>
      </c>
      <c r="G49" s="194">
        <f>SUM(G6:G48)</f>
        <v>312</v>
      </c>
      <c r="H49" s="98">
        <f>SUM(H6:H48)</f>
        <v>71760</v>
      </c>
    </row>
    <row r="50" spans="1:8">
      <c r="A50" s="8"/>
      <c r="B50" s="272"/>
      <c r="C50" s="272"/>
      <c r="D50" s="273"/>
      <c r="E50" s="136"/>
    </row>
    <row r="51" spans="1:8">
      <c r="A51" s="137"/>
      <c r="B51" s="31"/>
      <c r="C51" s="31"/>
      <c r="D51" s="135"/>
      <c r="E51" s="138"/>
    </row>
    <row r="52" spans="1:8">
      <c r="A52" s="8"/>
      <c r="B52" s="31"/>
      <c r="C52" s="31"/>
      <c r="D52" s="139"/>
      <c r="E52" s="136"/>
    </row>
    <row r="53" spans="1:8">
      <c r="A53" s="8"/>
      <c r="B53" s="31"/>
      <c r="C53" s="31"/>
      <c r="D53" s="139"/>
      <c r="E53" s="136"/>
    </row>
    <row r="54" spans="1:8">
      <c r="A54" s="8"/>
      <c r="B54" s="31"/>
      <c r="C54" s="31"/>
      <c r="D54" s="139"/>
      <c r="E54" s="136"/>
    </row>
    <row r="55" spans="1:8">
      <c r="A55" s="8"/>
      <c r="B55" s="31"/>
      <c r="C55" s="31"/>
      <c r="D55" s="139"/>
      <c r="E55" s="136"/>
    </row>
    <row r="56" spans="1:8">
      <c r="A56" s="8"/>
      <c r="B56" s="31"/>
      <c r="C56" s="31"/>
      <c r="D56" s="139"/>
      <c r="E56" s="136"/>
      <c r="F56" s="3"/>
      <c r="G56" s="3"/>
    </row>
    <row r="57" spans="1:8">
      <c r="A57" s="8"/>
      <c r="B57" s="31"/>
      <c r="C57" s="31"/>
      <c r="D57" s="139"/>
      <c r="E57" s="140"/>
      <c r="F57" s="3"/>
      <c r="G57" s="3"/>
    </row>
    <row r="58" spans="1:8">
      <c r="A58" s="92"/>
      <c r="B58" s="31"/>
      <c r="C58" s="31"/>
      <c r="D58" s="139"/>
      <c r="E58" s="136"/>
    </row>
    <row r="59" spans="1:8">
      <c r="A59" s="8"/>
      <c r="B59" s="31"/>
      <c r="C59" s="31"/>
      <c r="D59" s="139"/>
      <c r="E59" s="140"/>
    </row>
    <row r="60" spans="1:8" ht="14.1" customHeight="1">
      <c r="A60" s="8"/>
      <c r="B60" s="31"/>
      <c r="C60" s="31"/>
      <c r="D60" s="139"/>
      <c r="E60" s="140"/>
    </row>
    <row r="61" spans="1:8">
      <c r="A61" s="8"/>
      <c r="B61" s="31"/>
      <c r="C61" s="31"/>
      <c r="D61" s="139"/>
      <c r="E61" s="140"/>
    </row>
    <row r="62" spans="1:8" ht="14.1" customHeight="1">
      <c r="A62" s="8"/>
      <c r="B62" s="31"/>
      <c r="C62" s="31"/>
      <c r="D62" s="139"/>
      <c r="E62" s="140"/>
    </row>
    <row r="63" spans="1:8">
      <c r="A63" s="8"/>
      <c r="B63" s="31"/>
      <c r="C63" s="31"/>
      <c r="D63" s="139"/>
      <c r="E63" s="140"/>
    </row>
    <row r="64" spans="1:8">
      <c r="A64" s="8"/>
      <c r="B64" s="31"/>
      <c r="C64" s="31"/>
      <c r="D64" s="139"/>
      <c r="E64" s="140"/>
    </row>
    <row r="65" spans="1:8">
      <c r="A65" s="8"/>
      <c r="B65" s="31"/>
      <c r="C65" s="31"/>
      <c r="D65" s="139"/>
      <c r="E65" s="140"/>
    </row>
    <row r="66" spans="1:8">
      <c r="A66" s="8"/>
      <c r="B66" s="31"/>
      <c r="C66" s="31"/>
      <c r="D66" s="139"/>
      <c r="E66" s="140"/>
    </row>
    <row r="67" spans="1:8">
      <c r="A67" s="8"/>
      <c r="B67" s="31"/>
      <c r="C67" s="31"/>
      <c r="D67" s="139"/>
      <c r="E67" s="140"/>
    </row>
    <row r="68" spans="1:8">
      <c r="A68" s="8"/>
      <c r="B68" s="31"/>
      <c r="C68" s="31"/>
      <c r="D68" s="139"/>
      <c r="E68" s="140"/>
    </row>
    <row r="69" spans="1:8">
      <c r="A69" s="8"/>
      <c r="B69" s="31"/>
      <c r="C69" s="31"/>
      <c r="D69" s="139"/>
      <c r="E69" s="140"/>
    </row>
    <row r="70" spans="1:8">
      <c r="A70" s="8"/>
      <c r="B70" s="31"/>
      <c r="C70" s="31"/>
      <c r="D70" s="139"/>
      <c r="E70" s="140"/>
    </row>
    <row r="71" spans="1:8">
      <c r="A71" s="8"/>
      <c r="B71" s="31"/>
      <c r="C71" s="31"/>
      <c r="D71" s="139"/>
      <c r="E71" s="140"/>
      <c r="F71" s="3"/>
      <c r="G71" s="3"/>
    </row>
    <row r="72" spans="1:8">
      <c r="A72" s="141"/>
      <c r="B72" s="142"/>
      <c r="C72" s="142"/>
      <c r="D72" s="143"/>
      <c r="E72" s="143"/>
      <c r="F72" s="3"/>
      <c r="G72" s="3"/>
    </row>
    <row r="73" spans="1:8">
      <c r="A73" s="8"/>
      <c r="B73" s="145"/>
      <c r="C73" s="145"/>
      <c r="D73" s="146"/>
      <c r="E73" s="136"/>
      <c r="F73" s="3"/>
      <c r="G73" s="3"/>
    </row>
    <row r="74" spans="1:8">
      <c r="A74" s="137"/>
      <c r="B74" s="31"/>
      <c r="C74" s="31"/>
      <c r="D74" s="135"/>
      <c r="E74" s="138"/>
    </row>
    <row r="75" spans="1:8">
      <c r="A75" s="8"/>
      <c r="B75" s="31"/>
      <c r="C75" s="31"/>
      <c r="D75" s="139"/>
      <c r="E75" s="136"/>
    </row>
    <row r="76" spans="1:8">
      <c r="A76" s="8"/>
      <c r="B76" s="31"/>
      <c r="C76" s="31"/>
      <c r="D76" s="139"/>
      <c r="E76" s="136"/>
      <c r="H76" s="4"/>
    </row>
    <row r="77" spans="1:8">
      <c r="A77" s="8"/>
      <c r="B77" s="31"/>
      <c r="C77" s="31"/>
      <c r="D77" s="139"/>
      <c r="E77" s="136"/>
      <c r="F77" s="6"/>
      <c r="G77" s="6"/>
    </row>
    <row r="78" spans="1:8">
      <c r="A78" s="8"/>
      <c r="B78" s="31"/>
      <c r="C78" s="31"/>
      <c r="D78" s="139"/>
      <c r="E78" s="136"/>
      <c r="H78" s="4"/>
    </row>
    <row r="79" spans="1:8">
      <c r="A79" s="8"/>
      <c r="B79" s="31"/>
      <c r="C79" s="31"/>
      <c r="D79" s="139"/>
      <c r="E79" s="140"/>
      <c r="F79" s="6"/>
      <c r="G79" s="6"/>
    </row>
    <row r="80" spans="1:8">
      <c r="A80" s="8"/>
      <c r="B80" s="31"/>
      <c r="C80" s="31"/>
      <c r="D80" s="139"/>
      <c r="E80" s="136"/>
      <c r="F80" s="3"/>
      <c r="G80" s="3"/>
    </row>
    <row r="81" spans="1:13">
      <c r="A81" s="8"/>
      <c r="B81" s="31"/>
      <c r="C81" s="31"/>
      <c r="D81" s="139"/>
      <c r="E81" s="140"/>
      <c r="F81" s="6"/>
      <c r="G81" s="6"/>
    </row>
    <row r="82" spans="1:13">
      <c r="A82" s="8"/>
      <c r="B82" s="31"/>
      <c r="C82" s="31"/>
      <c r="D82" s="139"/>
      <c r="E82" s="140"/>
      <c r="F82" s="6"/>
      <c r="G82" s="6"/>
    </row>
    <row r="83" spans="1:13" ht="15" customHeight="1">
      <c r="A83" s="8"/>
      <c r="B83" s="31"/>
      <c r="C83" s="31"/>
      <c r="D83" s="139"/>
      <c r="E83" s="140"/>
      <c r="F83" s="3"/>
      <c r="G83" s="3"/>
    </row>
    <row r="84" spans="1:13">
      <c r="A84" s="8"/>
      <c r="B84" s="31"/>
      <c r="C84" s="31"/>
      <c r="D84" s="139"/>
      <c r="E84" s="140"/>
    </row>
    <row r="85" spans="1:13">
      <c r="A85" s="8"/>
      <c r="B85" s="31"/>
      <c r="C85" s="31"/>
      <c r="D85" s="139"/>
      <c r="E85" s="140"/>
    </row>
    <row r="86" spans="1:13">
      <c r="A86" s="8"/>
      <c r="B86" s="31"/>
      <c r="C86" s="31"/>
      <c r="D86" s="139"/>
      <c r="E86" s="140"/>
    </row>
    <row r="87" spans="1:13" s="7" customFormat="1">
      <c r="A87" s="8"/>
      <c r="B87" s="31"/>
      <c r="C87" s="31"/>
      <c r="D87" s="139"/>
      <c r="E87" s="140"/>
      <c r="F87"/>
      <c r="G87"/>
      <c r="H87"/>
      <c r="I87"/>
      <c r="J87"/>
      <c r="K87"/>
      <c r="L87"/>
      <c r="M87"/>
    </row>
    <row r="88" spans="1:13" s="7" customFormat="1" ht="30" customHeight="1">
      <c r="A88" s="8"/>
      <c r="B88" s="31"/>
      <c r="C88" s="31"/>
      <c r="D88" s="139"/>
      <c r="E88" s="140"/>
      <c r="F88" s="3"/>
      <c r="G88" s="3"/>
      <c r="H88"/>
      <c r="I88"/>
      <c r="J88"/>
      <c r="K88"/>
      <c r="L88"/>
      <c r="M88"/>
    </row>
    <row r="89" spans="1:13">
      <c r="A89" s="8"/>
      <c r="B89" s="31"/>
      <c r="C89" s="31"/>
      <c r="D89" s="139"/>
      <c r="E89" s="140"/>
    </row>
    <row r="90" spans="1:13" s="7" customFormat="1" ht="30" customHeight="1">
      <c r="A90" s="8"/>
      <c r="B90" s="31"/>
      <c r="C90" s="31"/>
      <c r="D90" s="139"/>
      <c r="E90" s="140"/>
      <c r="F90"/>
      <c r="G90"/>
      <c r="H90"/>
      <c r="I90"/>
      <c r="J90"/>
      <c r="K90"/>
      <c r="L90"/>
      <c r="M90"/>
    </row>
    <row r="91" spans="1:13">
      <c r="A91" s="8"/>
      <c r="B91" s="31"/>
      <c r="C91" s="31"/>
      <c r="D91" s="139"/>
      <c r="E91" s="140"/>
    </row>
    <row r="92" spans="1:13">
      <c r="A92" s="8"/>
      <c r="B92" s="31"/>
      <c r="C92" s="31"/>
      <c r="D92" s="139"/>
      <c r="E92" s="140"/>
    </row>
    <row r="93" spans="1:13">
      <c r="A93" s="8"/>
      <c r="B93" s="31"/>
      <c r="C93" s="31"/>
      <c r="D93" s="139"/>
      <c r="E93" s="140"/>
    </row>
    <row r="94" spans="1:13">
      <c r="A94" s="141"/>
      <c r="B94" s="142"/>
      <c r="C94" s="142"/>
      <c r="D94" s="147"/>
      <c r="E94" s="147"/>
    </row>
    <row r="95" spans="1:13">
      <c r="A95" s="8"/>
      <c r="B95" s="145"/>
      <c r="C95" s="145"/>
      <c r="D95" s="146"/>
      <c r="E95" s="136"/>
    </row>
    <row r="96" spans="1:13">
      <c r="A96" s="148"/>
      <c r="B96" s="149"/>
      <c r="C96" s="149"/>
      <c r="D96" s="150"/>
      <c r="E96" s="151"/>
    </row>
    <row r="97" spans="1:5">
      <c r="A97" s="8"/>
      <c r="B97" s="145"/>
      <c r="C97" s="145"/>
      <c r="D97" s="146"/>
      <c r="E97" s="136"/>
    </row>
    <row r="98" spans="1:5">
      <c r="A98" s="152"/>
      <c r="B98" s="145"/>
      <c r="C98" s="145"/>
      <c r="D98" s="139"/>
      <c r="E98" s="136"/>
    </row>
    <row r="99" spans="1:5">
      <c r="A99" s="8"/>
      <c r="B99" s="31"/>
      <c r="C99" s="31"/>
      <c r="D99" s="39"/>
      <c r="E99" s="8"/>
    </row>
    <row r="100" spans="1:5" ht="14.65" thickBot="1">
      <c r="A100" s="153"/>
      <c r="B100" s="154"/>
      <c r="C100" s="154"/>
      <c r="D100" s="155"/>
      <c r="E100" s="156"/>
    </row>
  </sheetData>
  <mergeCells count="8">
    <mergeCell ref="A1:M1"/>
    <mergeCell ref="J9:L9"/>
    <mergeCell ref="A2:F2"/>
    <mergeCell ref="B5:D5"/>
    <mergeCell ref="F5:H5"/>
    <mergeCell ref="J5:L5"/>
    <mergeCell ref="B8:D8"/>
    <mergeCell ref="F8:H8"/>
  </mergeCells>
  <conditionalFormatting sqref="R16">
    <cfRule type="cellIs" dxfId="1" priority="13" operator="notEqual">
      <formula>$C$49+$G$49+$K$32+$K$6</formula>
    </cfRule>
    <cfRule type="cellIs" dxfId="0" priority="14" operator="equal">
      <formula>$C$49+$G$49+$K$32+$K$6</formula>
    </cfRule>
  </conditionalFormatting>
  <printOptions gridLines="1"/>
  <pageMargins left="0.7" right="0.7" top="0.75" bottom="0.75" header="0.3" footer="0.3"/>
  <pageSetup scale="72" fitToWidth="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B8530-FB16-430E-B37A-DB8C2FE903C9}">
  <dimension ref="A3:AA54"/>
  <sheetViews>
    <sheetView workbookViewId="0"/>
  </sheetViews>
  <sheetFormatPr defaultColWidth="8.85546875" defaultRowHeight="14.45"/>
  <cols>
    <col min="1" max="1" width="52.7109375" bestFit="1" customWidth="1"/>
    <col min="2" max="2" width="30.28515625" bestFit="1" customWidth="1"/>
    <col min="3" max="3" width="10.85546875" bestFit="1" customWidth="1"/>
    <col min="4" max="4" width="29.85546875" bestFit="1" customWidth="1"/>
    <col min="5" max="5" width="10.85546875" customWidth="1"/>
    <col min="6" max="6" width="44.140625" bestFit="1" customWidth="1"/>
    <col min="7" max="7" width="10.85546875" bestFit="1" customWidth="1"/>
    <col min="8" max="8" width="39.140625" bestFit="1" customWidth="1"/>
    <col min="9" max="9" width="10.85546875" bestFit="1" customWidth="1"/>
    <col min="10" max="10" width="39.140625" bestFit="1" customWidth="1"/>
    <col min="11" max="11" width="10.85546875" bestFit="1" customWidth="1"/>
    <col min="12" max="12" width="52.7109375" bestFit="1" customWidth="1"/>
    <col min="13" max="13" width="10.85546875" bestFit="1" customWidth="1"/>
    <col min="14" max="14" width="26.85546875" bestFit="1" customWidth="1"/>
    <col min="15" max="15" width="10.85546875" bestFit="1" customWidth="1"/>
    <col min="16" max="16" width="31.42578125" bestFit="1" customWidth="1"/>
    <col min="17" max="17" width="10.85546875" bestFit="1" customWidth="1"/>
    <col min="18" max="19" width="10.85546875" customWidth="1"/>
    <col min="20" max="20" width="31.42578125" bestFit="1" customWidth="1"/>
    <col min="21" max="21" width="10.85546875" bestFit="1" customWidth="1"/>
    <col min="22" max="22" width="28.140625" bestFit="1" customWidth="1"/>
    <col min="23" max="23" width="10.85546875" bestFit="1" customWidth="1"/>
    <col min="24" max="24" width="20.140625" bestFit="1" customWidth="1"/>
    <col min="25" max="25" width="10.85546875" bestFit="1" customWidth="1"/>
    <col min="26" max="26" width="20.140625" bestFit="1" customWidth="1"/>
    <col min="27" max="27" width="10.85546875" bestFit="1" customWidth="1"/>
  </cols>
  <sheetData>
    <row r="3" spans="1:27">
      <c r="A3" s="18"/>
    </row>
    <row r="4" spans="1:27" ht="14.65" thickBot="1">
      <c r="A4" s="18"/>
      <c r="B4" s="295"/>
      <c r="C4" s="295"/>
      <c r="D4" s="295"/>
      <c r="E4" s="295"/>
      <c r="F4" s="295"/>
      <c r="G4" s="295"/>
      <c r="H4" s="295"/>
      <c r="I4" s="295"/>
      <c r="J4" s="295"/>
      <c r="K4" s="295"/>
      <c r="L4" s="295"/>
      <c r="M4" s="295"/>
      <c r="N4" s="295"/>
      <c r="O4" s="295"/>
      <c r="P4" s="295"/>
      <c r="Q4" s="295"/>
      <c r="R4" s="295"/>
      <c r="S4" s="295"/>
      <c r="T4" s="295"/>
      <c r="U4" s="295"/>
      <c r="V4" s="295"/>
      <c r="W4" s="295"/>
      <c r="X4" s="295"/>
      <c r="Y4" s="295"/>
      <c r="Z4" s="295"/>
      <c r="AA4" s="295"/>
    </row>
    <row r="5" spans="1:27" ht="14.65" thickTop="1">
      <c r="A5" s="296"/>
      <c r="B5" s="2" t="s">
        <v>171</v>
      </c>
      <c r="C5" s="297"/>
      <c r="D5" s="2" t="s">
        <v>172</v>
      </c>
      <c r="E5" s="298"/>
      <c r="F5" s="2" t="s">
        <v>173</v>
      </c>
      <c r="G5" s="298"/>
      <c r="H5" s="2" t="s">
        <v>174</v>
      </c>
      <c r="I5" s="298"/>
      <c r="J5" s="2" t="s">
        <v>175</v>
      </c>
      <c r="K5" s="298"/>
      <c r="L5" s="2" t="s">
        <v>176</v>
      </c>
      <c r="M5" s="298"/>
      <c r="N5" s="2" t="s">
        <v>177</v>
      </c>
      <c r="O5" s="298"/>
      <c r="P5" s="2" t="s">
        <v>178</v>
      </c>
      <c r="Q5" s="298"/>
      <c r="R5" s="2" t="s">
        <v>154</v>
      </c>
      <c r="S5" s="298"/>
      <c r="T5" s="2" t="s">
        <v>179</v>
      </c>
      <c r="U5" s="298"/>
      <c r="V5" s="2" t="s">
        <v>180</v>
      </c>
      <c r="W5" s="298"/>
      <c r="X5" s="2" t="s">
        <v>144</v>
      </c>
      <c r="Y5" s="298"/>
      <c r="Z5" s="2" t="s">
        <v>181</v>
      </c>
      <c r="AA5" s="297"/>
    </row>
    <row r="6" spans="1:27">
      <c r="A6" s="18" t="s">
        <v>147</v>
      </c>
      <c r="B6" s="299" t="s">
        <v>147</v>
      </c>
      <c r="C6" s="300">
        <f>'Service Costs'!C6</f>
        <v>56</v>
      </c>
      <c r="E6" s="297"/>
      <c r="H6" s="299" t="s">
        <v>147</v>
      </c>
      <c r="I6" s="300">
        <f>'Service Costs'!G6</f>
        <v>16</v>
      </c>
      <c r="K6" s="297"/>
      <c r="M6" s="297"/>
      <c r="P6" s="301" t="s">
        <v>159</v>
      </c>
      <c r="Q6" s="300">
        <f>'Service Costs'!K11</f>
        <v>16</v>
      </c>
      <c r="R6" t="s">
        <v>154</v>
      </c>
      <c r="S6" s="300">
        <f>'Service Costs'!K15</f>
        <v>32</v>
      </c>
      <c r="T6" t="s">
        <v>157</v>
      </c>
      <c r="U6" s="300">
        <f>'Service Costs'!K10</f>
        <v>32</v>
      </c>
      <c r="W6" s="297"/>
      <c r="X6" t="s">
        <v>182</v>
      </c>
      <c r="Y6" s="300">
        <f>'Service Costs'!K6</f>
        <v>90</v>
      </c>
      <c r="Z6" t="s">
        <v>169</v>
      </c>
      <c r="AA6" s="300">
        <f>'Service Costs'!K18</f>
        <v>24</v>
      </c>
    </row>
    <row r="7" spans="1:27">
      <c r="A7" s="18" t="s">
        <v>149</v>
      </c>
      <c r="B7" s="299" t="s">
        <v>149</v>
      </c>
      <c r="C7" s="300">
        <f>'Service Costs'!C7</f>
        <v>0</v>
      </c>
      <c r="E7" s="297"/>
      <c r="G7" s="302"/>
      <c r="H7" s="299" t="s">
        <v>149</v>
      </c>
      <c r="I7" s="300">
        <f>'Service Costs'!G7</f>
        <v>32</v>
      </c>
      <c r="K7" s="297"/>
      <c r="M7" s="297"/>
      <c r="O7" s="297"/>
      <c r="Q7" s="300"/>
      <c r="T7" s="299" t="s">
        <v>167</v>
      </c>
      <c r="U7" s="300">
        <f>'Service Costs'!K16</f>
        <v>16</v>
      </c>
      <c r="W7" s="297"/>
      <c r="Y7" s="297"/>
      <c r="AA7" s="297"/>
    </row>
    <row r="8" spans="1:27">
      <c r="A8" s="303" t="s">
        <v>151</v>
      </c>
      <c r="C8" s="297"/>
      <c r="E8" s="297"/>
      <c r="G8" s="297"/>
      <c r="I8" s="297"/>
      <c r="K8" s="297"/>
      <c r="M8" s="297"/>
      <c r="O8" s="297"/>
      <c r="Q8" s="297"/>
      <c r="S8" s="297"/>
      <c r="U8" s="297"/>
      <c r="W8" s="297"/>
      <c r="Y8" s="297"/>
      <c r="AA8" s="297"/>
    </row>
    <row r="9" spans="1:27">
      <c r="A9" s="296" t="str">
        <f>IF(Parameters_CheckRecognition_Active="Y", Parameters!A13, "")</f>
        <v xml:space="preserve">         Check Recognition/Bulk Scanning</v>
      </c>
      <c r="B9" s="302" t="str">
        <f>IF(Parameters_CheckRecognition_Active="Y", Parameters!A13, "")</f>
        <v xml:space="preserve">         Check Recognition/Bulk Scanning</v>
      </c>
      <c r="C9" s="300" t="e">
        <f>'Service Costs'!#REF!</f>
        <v>#REF!</v>
      </c>
      <c r="E9" s="297"/>
      <c r="G9" s="297"/>
      <c r="I9" s="297"/>
      <c r="J9" t="str">
        <f>IF(Parameters_CheckRecognition_Active="Y", Parameters!A13, "")</f>
        <v xml:space="preserve">         Check Recognition/Bulk Scanning</v>
      </c>
      <c r="K9" s="297"/>
      <c r="M9" s="297"/>
      <c r="O9" s="297"/>
      <c r="Q9" s="297"/>
      <c r="S9" s="297"/>
      <c r="U9" s="297"/>
      <c r="W9" s="297"/>
      <c r="Y9" s="297"/>
      <c r="AA9" s="297"/>
    </row>
    <row r="10" spans="1:27">
      <c r="A10" s="296" t="str">
        <f>IF(Parameters_ImageCashLetter_Active="Y",Parameters!A15&amp;" - "&amp;Parameters!G15,"""")</f>
        <v xml:space="preserve">         Image Cash Letter - ????</v>
      </c>
      <c r="B10" s="304"/>
      <c r="C10" s="297"/>
      <c r="E10" s="297"/>
      <c r="F10" s="302" t="str">
        <f>IF(Parameters_ImageCashLetter_Active="Y",Parameters!A15&amp;" - "&amp;Parameters!G15,"""")</f>
        <v xml:space="preserve">         Image Cash Letter - ????</v>
      </c>
      <c r="G10" s="300">
        <f>'Service Costs'!C9</f>
        <v>8</v>
      </c>
      <c r="I10" s="297"/>
      <c r="J10" t="str">
        <f>IF(Parameters!I14="NN","",IF(Parameters!I14 ="NY","",IF(Parameters!I14="YN", Parameters!A15&amp;" - "&amp;Parameters!G15, IF(Parameters!I14="YY", "",""))))</f>
        <v/>
      </c>
      <c r="K10" s="297">
        <f>IF(Parameters!I14="NN",0,IF(Parameters!I14 ="NY",0,IF(Parameters!I14="YN", 'Service Costs'!G9, IF(Parameters!I14="YY", 0,0))))</f>
        <v>0</v>
      </c>
      <c r="L10" t="str">
        <f>IF(Parameters!I14="NN","",IF(Parameters!I14 ="NY","",IF(Parameters!I14="YN", "", IF(Parameters!I14="YY", Parameters!A15&amp;" - "&amp;Parameters!G15,""))))</f>
        <v xml:space="preserve">         Image Cash Letter - ????</v>
      </c>
      <c r="M10" s="297">
        <f>IF(Parameters!I14="NN",0,IF(Parameters!I14 ="NY",0,IF(Parameters!I14="YN", 0, IF(Parameters!I14="YY", 'Service Costs'!G9,0))))</f>
        <v>12</v>
      </c>
      <c r="O10" s="297"/>
      <c r="Q10" s="297"/>
      <c r="S10" s="297"/>
      <c r="U10" s="297"/>
      <c r="W10" s="297"/>
      <c r="Y10" s="297"/>
      <c r="AA10" s="297"/>
    </row>
    <row r="11" spans="1:27">
      <c r="A11" s="296" t="str">
        <f>IF(Parameters_RevenueSubmission_Active="Y", Parameters!A16, "")</f>
        <v xml:space="preserve">         Revenue Submission</v>
      </c>
      <c r="B11" s="302" t="str">
        <f>IF(Parameters_RevenueSubmission_Active="Y", Parameters!A16, "")</f>
        <v xml:space="preserve">         Revenue Submission</v>
      </c>
      <c r="C11" s="300">
        <f>'Service Costs'!C10</f>
        <v>12</v>
      </c>
      <c r="E11" s="297"/>
      <c r="G11" s="297"/>
      <c r="H11" t="str">
        <f>IF(Parameters_RevenueSubmission_Active="Y", Parameters!A16, "")</f>
        <v xml:space="preserve">         Revenue Submission</v>
      </c>
      <c r="I11" s="300">
        <f>'Service Costs'!G10</f>
        <v>24</v>
      </c>
      <c r="K11" s="297"/>
      <c r="M11" s="297"/>
      <c r="O11" s="297"/>
      <c r="Q11" s="297"/>
      <c r="S11" s="297"/>
      <c r="U11" s="297"/>
      <c r="W11" s="297"/>
      <c r="Y11" s="297"/>
      <c r="AA11" s="297"/>
    </row>
    <row r="12" spans="1:27">
      <c r="A12" s="296" t="str">
        <f>IF(Parameters_TellerOnline_Active="Y", Parameters!A18, "")</f>
        <v xml:space="preserve">         Online Customer Portal</v>
      </c>
      <c r="B12" s="302" t="str">
        <f>IF(Parameters_TellerOnline_Active="Y", Parameters!A18, "")</f>
        <v xml:space="preserve">         Online Customer Portal</v>
      </c>
      <c r="C12" s="300">
        <f>'Service Costs'!C11</f>
        <v>8</v>
      </c>
      <c r="E12" s="297"/>
      <c r="G12" s="297"/>
      <c r="I12" s="297"/>
      <c r="J12" t="str">
        <f>IF(Parameters_TellerOnline_Active="Y", Parameters!A18, "")</f>
        <v xml:space="preserve">         Online Customer Portal</v>
      </c>
      <c r="K12" s="300">
        <f>'Service Costs'!G11</f>
        <v>48</v>
      </c>
      <c r="M12" s="297"/>
      <c r="O12" s="297"/>
      <c r="Q12" s="297"/>
      <c r="S12" s="297"/>
      <c r="U12" s="297"/>
      <c r="W12" s="297"/>
      <c r="Y12" s="297"/>
      <c r="AA12" s="297"/>
    </row>
    <row r="13" spans="1:27">
      <c r="A13" s="296"/>
      <c r="B13" s="302"/>
      <c r="C13" s="300"/>
      <c r="E13" s="297"/>
      <c r="G13" s="297"/>
      <c r="I13" s="297"/>
      <c r="J13" t="e">
        <f>IF(Parameters!#REF!="Y", Parameters!#REF!, "")</f>
        <v>#REF!</v>
      </c>
      <c r="K13" s="300" t="e">
        <f>'Service Costs'!#REF!</f>
        <v>#REF!</v>
      </c>
      <c r="M13" s="297"/>
      <c r="O13" s="297"/>
      <c r="Q13" s="297"/>
      <c r="S13" s="297"/>
      <c r="U13" s="297"/>
      <c r="W13" s="297"/>
      <c r="Y13" s="297"/>
      <c r="AA13" s="297"/>
    </row>
    <row r="14" spans="1:27">
      <c r="A14" s="296" t="str">
        <f>IF(Parameters!B22="Y", Parameters!A22&amp;" - "&amp;Parameters!G22, "")</f>
        <v xml:space="preserve">         Credit Processor  - ????</v>
      </c>
      <c r="C14" s="297"/>
      <c r="E14" s="297"/>
      <c r="F14" s="302" t="str">
        <f>IF(Parameters!B22="Y", Parameters!A22&amp;" - "&amp;Parameters!G22, "")</f>
        <v xml:space="preserve">         Credit Processor  - ????</v>
      </c>
      <c r="G14" s="300">
        <f>'Service Costs'!C13</f>
        <v>4</v>
      </c>
      <c r="I14" s="297"/>
      <c r="K14" s="297"/>
      <c r="L14" t="str">
        <f>IF(Parameters!B22="Y", Parameters!A22&amp;" - "&amp;Parameters!G22, "")</f>
        <v xml:space="preserve">         Credit Processor  - ????</v>
      </c>
      <c r="M14" s="300">
        <f>'Service Costs'!G13</f>
        <v>4</v>
      </c>
      <c r="O14" s="297"/>
      <c r="Q14" s="297"/>
      <c r="S14" s="297"/>
      <c r="U14" s="297"/>
      <c r="W14" s="297"/>
      <c r="Y14" s="297"/>
      <c r="AA14" s="297"/>
    </row>
    <row r="15" spans="1:27">
      <c r="A15" s="296" t="str">
        <f>IF(Parameters!B23="Y", Parameters!A23&amp;" - "&amp;Parameters!G23, "")</f>
        <v xml:space="preserve">         Financials - ????</v>
      </c>
      <c r="C15" s="297"/>
      <c r="D15" t="str">
        <f>IF(Parameters!I23="NN","",IF(Parameters!I23 ="NY","",IF(Parameters!I23="YN", Parameters!A23&amp;" - "&amp;Parameters!G23, IF(Parameters!I23="YY", "",""))))</f>
        <v xml:space="preserve">         Financials - ????</v>
      </c>
      <c r="E15" s="297">
        <f>IF(Parameters!I23="NN",0,IF(Parameters!I23 ="NY",0,IF(Parameters!I23="YN", 'Service Costs'!C14, IF(Parameters!I23="YY", 0,0))))</f>
        <v>0</v>
      </c>
      <c r="F15" s="302" t="str">
        <f>IF(Parameters!I23="NN","",IF(Parameters!I23 ="NY","",IF(Parameters!I23="YN", "", IF(Parameters!I23="YY", Parameters!A23&amp;" - "&amp;Parameters!G23,""))))</f>
        <v/>
      </c>
      <c r="G15" s="300">
        <f>IF(Parameters!I23="NN",0,IF(Parameters!I23 ="NY",0,IF(Parameters!I23="YN", 0, IF(Parameters!I23="YY", 'Service Costs'!C14,0))))</f>
        <v>0</v>
      </c>
      <c r="I15" s="297"/>
      <c r="J15" t="str">
        <f>IF(Parameters!I23="NN","",IF(Parameters!I23 ="NY","",IF(Parameters!I23="YN", Parameters!A23&amp;" - "&amp;Parameters!G23, IF(Parameters!I23="YY", "",""))))</f>
        <v xml:space="preserve">         Financials - ????</v>
      </c>
      <c r="K15" s="297">
        <f>IF(Parameters!I23="NN",0,IF(Parameters!I23 ="NY",0,IF(Parameters!I23="YN", 'Service Costs'!G14, IF(Parameters!I23="YY", 0,0))))</f>
        <v>0</v>
      </c>
      <c r="L15" t="str">
        <f>IF(Parameters!I23="NN","",IF(Parameters!I23 ="NY","",IF(Parameters!I23="YN", "", IF(Parameters!I23="YY", Parameters!A23&amp;" - "&amp;Parameters!G23,""))))</f>
        <v/>
      </c>
      <c r="M15" s="297">
        <f>IF(Parameters!I23="NN",0,IF(Parameters!I23 ="NY",0,IF(Parameters!I23="YN", 0, IF(Parameters!I23="YY", 'Service Costs'!G14,0))))</f>
        <v>0</v>
      </c>
      <c r="O15" s="297"/>
      <c r="Q15" s="297"/>
      <c r="S15" s="297"/>
      <c r="U15" s="297"/>
      <c r="W15" s="297"/>
      <c r="Y15" s="297"/>
      <c r="AA15" s="297"/>
    </row>
    <row r="16" spans="1:27">
      <c r="A16" s="296" t="str">
        <f>IF(Parameters!B24="Y", Parameters!A24&amp;" - "&amp;Parameters!G24, "")</f>
        <v xml:space="preserve">         Financials A/R - ????</v>
      </c>
      <c r="C16" s="297"/>
      <c r="D16" t="str">
        <f>IF(Parameters!I24="NN","",IF(Parameters!I24 ="NY","",IF(Parameters!I24="YN", Parameters!A24&amp;" - "&amp;Parameters!G24, IF(Parameters!I24="YY", "",""))))</f>
        <v xml:space="preserve">         Financials A/R - ????</v>
      </c>
      <c r="E16" s="297">
        <f>IF(Parameters!I24="NN",0,IF(Parameters!I24 ="NY",0,IF(Parameters!I24="YN", 'Service Costs'!C15, IF(Parameters!I24="YY", 0,0))))</f>
        <v>8</v>
      </c>
      <c r="F16" s="302" t="str">
        <f>IF(Parameters!I24="NN","",IF(Parameters!I24 ="NY","",IF(Parameters!I24="YN", "", IF(Parameters!I24="YY", Parameters!A24&amp;" - "&amp;Parameters!G24,""))))</f>
        <v/>
      </c>
      <c r="G16" s="300">
        <f>IF(Parameters!I24="NN",0,IF(Parameters!I24 ="NY",0,IF(Parameters!I24="YN", 0, IF(Parameters!I24="YY", 'Service Costs'!C15,0))))</f>
        <v>0</v>
      </c>
      <c r="I16" s="297"/>
      <c r="J16" t="str">
        <f>IF(Parameters!I24="NN","",IF(Parameters!I24 ="NY","",IF(Parameters!I24="YN", Parameters!A24&amp;" - "&amp;Parameters!G24, IF(Parameters!I24="YY", "",""))))</f>
        <v xml:space="preserve">         Financials A/R - ????</v>
      </c>
      <c r="K16" s="297">
        <f>IF(Parameters!I24="NN",0,IF(Parameters!I24 ="NY",0,IF(Parameters!I24="YN", 'Service Costs'!G15, IF(Parameters!I24="YY", 0,0))))</f>
        <v>20</v>
      </c>
      <c r="L16" t="str">
        <f>IF(Parameters!I24="NN","",IF(Parameters!I24 ="NY","",IF(Parameters!I24="YN", "", IF(Parameters!I24="YY", Parameters!A24&amp;" - "&amp;Parameters!G24,""))))</f>
        <v/>
      </c>
      <c r="M16" s="297">
        <f>IF(Parameters!I24="NN",0,IF(Parameters!I24 ="NY",0,IF(Parameters!I24="YN", 0, IF(Parameters!I24="YY", 'Service Costs'!G15,0))))</f>
        <v>0</v>
      </c>
      <c r="O16" s="297"/>
      <c r="Q16" s="297"/>
      <c r="S16" s="297"/>
      <c r="U16" s="297"/>
      <c r="W16" s="297"/>
      <c r="Y16" s="297"/>
      <c r="AA16" s="297"/>
    </row>
    <row r="17" spans="1:27">
      <c r="A17" s="296" t="str">
        <f>IF(Parameters!B25="Y", Parameters!A25&amp;Parameters!G25, "")</f>
        <v xml:space="preserve">         Bi-Directional - ????</v>
      </c>
      <c r="C17" s="297"/>
      <c r="E17" s="297"/>
      <c r="F17" t="str">
        <f>IF(Parameters!B25="Y", Parameters!A25&amp;Parameters!G25, "")</f>
        <v xml:space="preserve">         Bi-Directional - ????</v>
      </c>
      <c r="G17" s="300">
        <f>'Service Costs'!C16</f>
        <v>8</v>
      </c>
      <c r="I17" s="297"/>
      <c r="J17" t="str">
        <f>IF(Parameters!I25="NN","",IF(Parameters!I25 ="NY","",IF(Parameters!I25="YN", Parameters!A25&amp;" - "&amp;Parameters!G25, IF(Parameters!I25="YY", "",""))))</f>
        <v xml:space="preserve">         Bi-Directional -  - ????</v>
      </c>
      <c r="K17" s="297">
        <f>IF(Parameters!I25="NN",0,IF(Parameters!I25 ="NY",0,IF(Parameters!I25="YN", 'Service Costs'!G16, IF(Parameters!I25="YY", 0,0))))</f>
        <v>24</v>
      </c>
      <c r="L17" t="str">
        <f>IF(Parameters!I25="NN","",IF(Parameters!I25 ="NY","",IF(Parameters!I25="YN", "", IF(Parameters!I25="YY", Parameters!A25&amp;" - "&amp;Parameters!G25,""))))</f>
        <v/>
      </c>
      <c r="M17" s="297">
        <f>IF(Parameters!I25="NN",0,IF(Parameters!I25 ="NY",0,IF(Parameters!I25="YN", 0, IF(Parameters!I25="YY", 'Service Costs'!G16,0))))</f>
        <v>0</v>
      </c>
      <c r="O17" s="297"/>
      <c r="Q17" s="297"/>
      <c r="S17" s="297"/>
      <c r="U17" s="297"/>
      <c r="W17" s="297"/>
      <c r="Y17" s="297"/>
      <c r="AA17" s="297"/>
    </row>
    <row r="18" spans="1:27">
      <c r="A18" s="296" t="str">
        <f>IF(Parameters!B26="Y", Parameters!A26&amp;Parameters!G26, "")</f>
        <v xml:space="preserve">         Bi-Directional - ????</v>
      </c>
      <c r="C18" s="297"/>
      <c r="E18" s="297"/>
      <c r="F18" t="str">
        <f>IF(Parameters!B26="Y", Parameters!A26&amp;Parameters!G26, "")</f>
        <v xml:space="preserve">         Bi-Directional - ????</v>
      </c>
      <c r="G18" s="300">
        <f>'Service Costs'!C17</f>
        <v>24</v>
      </c>
      <c r="I18" s="297"/>
      <c r="J18" t="str">
        <f>IF(Parameters!I26="NN","",IF(Parameters!I26 ="NY","",IF(Parameters!I26="YN", Parameters!A26&amp;" - "&amp;Parameters!G26, IF(Parameters!I26="YY", "",""))))</f>
        <v/>
      </c>
      <c r="K18" s="297">
        <f>IF(Parameters!I26="NN",0,IF(Parameters!I26 ="NY",0,IF(Parameters!I26="YN", 'Service Costs'!G17, IF(Parameters!I26="YY", 0,0))))</f>
        <v>0</v>
      </c>
      <c r="L18" t="str">
        <f>IF(Parameters!I26="NN","",IF(Parameters!I26 ="NY","",IF(Parameters!I26="YN", "", IF(Parameters!I26="YY", Parameters!A26&amp;" - "&amp;Parameters!G26,""))))</f>
        <v xml:space="preserve">         Bi-Directional -  - ????</v>
      </c>
      <c r="M18" s="297">
        <f>IF(Parameters!I26="NN",0,IF(Parameters!I26 ="NY",0,IF(Parameters!I26="YN", 0, IF(Parameters!I26="YY", 'Service Costs'!G17,0))))</f>
        <v>100</v>
      </c>
      <c r="O18" s="297"/>
      <c r="Q18" s="297"/>
      <c r="S18" s="297"/>
      <c r="U18" s="297"/>
      <c r="W18" s="297"/>
      <c r="Y18" s="297"/>
      <c r="AA18" s="297"/>
    </row>
    <row r="19" spans="1:27">
      <c r="A19" s="296" t="str">
        <f>IF(Parameters!B27="Y", Parameters!A27&amp;Parameters!G27, "")</f>
        <v/>
      </c>
      <c r="C19" s="297"/>
      <c r="E19" s="297"/>
      <c r="F19" t="str">
        <f>IF(Parameters!B27="Y", Parameters!A27&amp;Parameters!G27, "")</f>
        <v/>
      </c>
      <c r="G19" s="300">
        <f>'Service Costs'!C18</f>
        <v>0</v>
      </c>
      <c r="I19" s="297"/>
      <c r="J19" t="str">
        <f>IF(Parameters!I27="NN","",IF(Parameters!I27 ="NY","",IF(Parameters!I27="YN", Parameters!A27&amp;" - "&amp;Parameters!G27, IF(Parameters!I27="YY", "",""))))</f>
        <v/>
      </c>
      <c r="K19" s="297">
        <f>IF(Parameters!I27="NN",0,IF(Parameters!I27 ="NY",0,IF(Parameters!I27="YN", 'Service Costs'!G18, IF(Parameters!I27="YY", 0,0))))</f>
        <v>0</v>
      </c>
      <c r="L19" t="str">
        <f>IF(Parameters!I27="NN","",IF(Parameters!I27 ="NY","",IF(Parameters!I27="YN", "", IF(Parameters!I27="YY", Parameters!A27&amp;" - "&amp;Parameters!G27,""))))</f>
        <v/>
      </c>
      <c r="M19" s="297">
        <f>IF(Parameters!I27="NN",0,IF(Parameters!I27 ="NY",0,IF(Parameters!I27="YN", 0, IF(Parameters!I27="YY", 'Service Costs'!G18,0))))</f>
        <v>0</v>
      </c>
      <c r="O19" s="297"/>
      <c r="Q19" s="297"/>
      <c r="S19" s="297"/>
      <c r="U19" s="297"/>
      <c r="W19" s="297"/>
      <c r="Y19" s="297"/>
      <c r="AA19" s="297"/>
    </row>
    <row r="20" spans="1:27">
      <c r="A20" s="296" t="str">
        <f>IF(Parameters!B28="Y", Parameters!A28&amp;Parameters!G28, "")</f>
        <v/>
      </c>
      <c r="C20" s="297"/>
      <c r="E20" s="297"/>
      <c r="F20" t="str">
        <f>IF(Parameters!B28="Y", Parameters!A28&amp;Parameters!G28, "")</f>
        <v/>
      </c>
      <c r="G20" s="300">
        <f>'Service Costs'!C19</f>
        <v>0</v>
      </c>
      <c r="I20" s="297"/>
      <c r="J20" t="str">
        <f>IF(Parameters!I28="NN","",IF(Parameters!I28 ="NY","",IF(Parameters!I28="YN", Parameters!A28&amp;" - "&amp;Parameters!G28, IF(Parameters!I28="YY", "",""))))</f>
        <v/>
      </c>
      <c r="K20" s="297">
        <f>IF(Parameters!I28="NN",0,IF(Parameters!I28 ="NY",0,IF(Parameters!I28="YN", 'Service Costs'!G19, IF(Parameters!I28="YY", 0,0))))</f>
        <v>0</v>
      </c>
      <c r="L20" t="str">
        <f>IF(Parameters!I28="NN","",IF(Parameters!I28 ="NY","",IF(Parameters!I28="YN", "", IF(Parameters!I28="YY", Parameters!A28&amp;" - "&amp;Parameters!G28,""))))</f>
        <v/>
      </c>
      <c r="M20" s="297">
        <f>IF(Parameters!I28="NN",0,IF(Parameters!I28 ="NY",0,IF(Parameters!I28="YN", 0, IF(Parameters!I28="YY", 'Service Costs'!G19,0))))</f>
        <v>0</v>
      </c>
      <c r="O20" s="297"/>
      <c r="Q20" s="297"/>
      <c r="S20" s="297"/>
      <c r="U20" s="297"/>
      <c r="W20" s="297"/>
      <c r="Y20" s="297"/>
      <c r="AA20" s="297"/>
    </row>
    <row r="21" spans="1:27">
      <c r="A21" s="296" t="str">
        <f>IF(Parameters!B34="Y", Parameters!A34&amp;Parameters!G34, "")</f>
        <v/>
      </c>
      <c r="C21" s="297"/>
      <c r="E21" s="297"/>
      <c r="F21" t="str">
        <f>IF(Parameters!B34="Y", Parameters!A34&amp;Parameters!G34, "")</f>
        <v/>
      </c>
      <c r="G21" s="300">
        <f>'Service Costs'!C20</f>
        <v>0</v>
      </c>
      <c r="I21" s="297"/>
      <c r="J21" t="str">
        <f>IF(Parameters!I34="NN","",IF(Parameters!I34 ="NY","",IF(Parameters!I34="YN", Parameters!A34&amp;" - "&amp;Parameters!G34, IF(Parameters!I34="YY", "",""))))</f>
        <v/>
      </c>
      <c r="K21" s="297">
        <f>IF(Parameters!I34="NN",0,IF(Parameters!I34 ="NY",0,IF(Parameters!I34="YN", 'Service Costs'!G20, IF(Parameters!I34="YY", 0,0))))</f>
        <v>0</v>
      </c>
      <c r="L21" t="str">
        <f>IF(Parameters!I34="NN","",IF(Parameters!I34 ="NY","",IF(Parameters!I34="YN", "", IF(Parameters!I34="YY", Parameters!A34&amp;" - "&amp;Parameters!G34,""))))</f>
        <v/>
      </c>
      <c r="M21" s="297">
        <f>IF(Parameters!I34="NN",0,IF(Parameters!I34 ="NY",0,IF(Parameters!I34="YN", 0, IF(Parameters!I34="YY", 'Service Costs'!G20,0))))</f>
        <v>0</v>
      </c>
      <c r="O21" s="297"/>
      <c r="Q21" s="297"/>
      <c r="S21" s="297"/>
      <c r="U21" s="297"/>
      <c r="W21" s="297"/>
      <c r="Y21" s="297"/>
      <c r="AA21" s="297"/>
    </row>
    <row r="22" spans="1:27">
      <c r="A22" s="296" t="str">
        <f>IF(Parameters!B45="Y", Parameters!A45&amp;Parameters!G45, "")</f>
        <v xml:space="preserve">         Payment Import - ????</v>
      </c>
      <c r="C22" s="297"/>
      <c r="E22" s="297"/>
      <c r="F22" t="str">
        <f>IF(Parameters!B45="Y", Parameters!A45&amp;Parameters!G45, "")</f>
        <v xml:space="preserve">         Payment Import - ????</v>
      </c>
      <c r="G22" s="300">
        <f>'Service Costs'!C31</f>
        <v>8</v>
      </c>
      <c r="I22" s="297"/>
      <c r="J22" t="str">
        <f>IF(Parameters!B45="Y", Parameters!A45&amp;Parameters!G45, "")</f>
        <v xml:space="preserve">         Payment Import - ????</v>
      </c>
      <c r="K22" s="300">
        <f>'Service Costs'!G31</f>
        <v>16</v>
      </c>
      <c r="M22" s="297"/>
      <c r="O22" s="297"/>
      <c r="Q22" s="297"/>
      <c r="S22" s="297"/>
      <c r="U22" s="297"/>
      <c r="W22" s="297"/>
      <c r="Y22" s="297"/>
      <c r="AA22" s="297"/>
    </row>
    <row r="23" spans="1:27">
      <c r="A23" s="296" t="str">
        <f>IF(Parameters!B46="Y", Parameters!A46&amp;Parameters!G46, "")</f>
        <v xml:space="preserve">         Payment Import - ????</v>
      </c>
      <c r="C23" s="297"/>
      <c r="E23" s="297"/>
      <c r="F23" t="str">
        <f>IF(Parameters!B46="Y", Parameters!A46&amp;Parameters!G46, "")</f>
        <v xml:space="preserve">         Payment Import - ????</v>
      </c>
      <c r="G23" s="300">
        <f>'Service Costs'!C32</f>
        <v>8</v>
      </c>
      <c r="I23" s="297"/>
      <c r="J23" t="str">
        <f>IF(Parameters!B46="Y", Parameters!A46&amp;Parameters!G46, "")</f>
        <v xml:space="preserve">         Payment Import - ????</v>
      </c>
      <c r="K23" s="300">
        <f>'Service Costs'!G32</f>
        <v>16</v>
      </c>
      <c r="M23" s="297"/>
      <c r="O23" s="297"/>
      <c r="Q23" s="297"/>
      <c r="S23" s="297"/>
      <c r="U23" s="297"/>
      <c r="W23" s="297"/>
      <c r="Y23" s="297"/>
      <c r="AA23" s="297"/>
    </row>
    <row r="24" spans="1:27">
      <c r="A24" s="296" t="str">
        <f>IF(Parameters!B47="Y", Parameters!A47&amp;Parameters!G47, "")</f>
        <v/>
      </c>
      <c r="C24" s="297"/>
      <c r="E24" s="297"/>
      <c r="F24" t="str">
        <f>IF(Parameters!B47="Y", Parameters!A47&amp;Parameters!G47, "")</f>
        <v/>
      </c>
      <c r="G24" s="300">
        <f>'Service Costs'!C33</f>
        <v>0</v>
      </c>
      <c r="I24" s="297"/>
      <c r="J24" t="str">
        <f>IF(Parameters!B47="Y", Parameters!A47&amp;Parameters!G47, "")</f>
        <v/>
      </c>
      <c r="K24" s="300">
        <f>'Service Costs'!G33</f>
        <v>0</v>
      </c>
      <c r="M24" s="297"/>
      <c r="O24" s="297"/>
      <c r="Q24" s="297"/>
      <c r="S24" s="297"/>
      <c r="U24" s="297"/>
      <c r="W24" s="297"/>
      <c r="Y24" s="297"/>
      <c r="AA24" s="297"/>
    </row>
    <row r="25" spans="1:27">
      <c r="A25" s="296" t="str">
        <f>IF(Parameters!B48="Y", Parameters!A48&amp;Parameters!G48, "")</f>
        <v/>
      </c>
      <c r="C25" s="297"/>
      <c r="E25" s="297"/>
      <c r="F25" t="str">
        <f>IF(Parameters!B48="Y", Parameters!A48&amp;Parameters!G48, "")</f>
        <v/>
      </c>
      <c r="G25" s="300">
        <f>'Service Costs'!C34</f>
        <v>0</v>
      </c>
      <c r="I25" s="297"/>
      <c r="J25" t="str">
        <f>IF(Parameters!B48="Y", Parameters!A48&amp;Parameters!G48, "")</f>
        <v/>
      </c>
      <c r="K25" s="300">
        <f>'Service Costs'!G34</f>
        <v>0</v>
      </c>
      <c r="M25" s="297"/>
      <c r="O25" s="297"/>
      <c r="Q25" s="297"/>
      <c r="S25" s="297"/>
      <c r="U25" s="297"/>
      <c r="W25" s="297"/>
      <c r="Y25" s="297"/>
      <c r="AA25" s="297"/>
    </row>
    <row r="26" spans="1:27">
      <c r="A26" s="296" t="str">
        <f>IF(Parameters!B49="Y", Parameters!A49&amp;Parameters!G49, "")</f>
        <v/>
      </c>
      <c r="C26" s="297"/>
      <c r="E26" s="297"/>
      <c r="F26" t="str">
        <f>IF(Parameters!B49="Y", Parameters!A49&amp;Parameters!G49, "")</f>
        <v/>
      </c>
      <c r="G26" s="300">
        <f>'Service Costs'!C35</f>
        <v>0</v>
      </c>
      <c r="I26" s="297"/>
      <c r="J26" t="str">
        <f>IF(Parameters!B49="Y", Parameters!A49&amp;Parameters!G49, "")</f>
        <v/>
      </c>
      <c r="K26" s="300">
        <f>'Service Costs'!G35</f>
        <v>0</v>
      </c>
      <c r="M26" s="297"/>
      <c r="O26" s="297"/>
      <c r="Q26" s="297"/>
      <c r="S26" s="297"/>
      <c r="U26" s="297"/>
      <c r="W26" s="297"/>
      <c r="Y26" s="297"/>
      <c r="AA26" s="297"/>
    </row>
    <row r="27" spans="1:27">
      <c r="A27" s="296" t="str">
        <f>IF(Parameters!B50="Y", Parameters!A50&amp;Parameters!G50, "")</f>
        <v/>
      </c>
      <c r="C27" s="297"/>
      <c r="E27" s="297"/>
      <c r="F27" t="str">
        <f>IF(Parameters!B50="Y", Parameters!A50&amp;Parameters!G50, "")</f>
        <v/>
      </c>
      <c r="G27" s="300">
        <f>'Service Costs'!C36</f>
        <v>0</v>
      </c>
      <c r="I27" s="297"/>
      <c r="J27" t="str">
        <f>IF(Parameters!B50="Y", Parameters!A50&amp;Parameters!G50, "")</f>
        <v/>
      </c>
      <c r="K27" s="300">
        <f>'Service Costs'!G36</f>
        <v>0</v>
      </c>
      <c r="M27" s="297"/>
      <c r="O27" s="297"/>
      <c r="Q27" s="297"/>
      <c r="S27" s="297"/>
      <c r="U27" s="297"/>
      <c r="W27" s="297"/>
      <c r="Y27" s="297"/>
      <c r="AA27" s="297"/>
    </row>
    <row r="28" spans="1:27">
      <c r="A28" s="296" t="str">
        <f>IF(Parameters!B51="Y", Parameters!A51&amp;Parameters!G51, "")</f>
        <v/>
      </c>
      <c r="C28" s="297"/>
      <c r="E28" s="297"/>
      <c r="F28" t="str">
        <f>IF(Parameters!B51="Y", Parameters!A51&amp;Parameters!G51, "")</f>
        <v/>
      </c>
      <c r="G28" s="300">
        <f>'Service Costs'!C37</f>
        <v>0</v>
      </c>
      <c r="I28" s="297"/>
      <c r="J28" t="str">
        <f>IF(Parameters!B51="Y", Parameters!A51&amp;Parameters!G51, "")</f>
        <v/>
      </c>
      <c r="K28" s="300">
        <f>'Service Costs'!G37</f>
        <v>0</v>
      </c>
      <c r="M28" s="297"/>
      <c r="O28" s="297"/>
      <c r="Q28" s="297"/>
      <c r="S28" s="297"/>
      <c r="U28" s="297"/>
      <c r="W28" s="297"/>
      <c r="Y28" s="297"/>
      <c r="AA28" s="297"/>
    </row>
    <row r="29" spans="1:27">
      <c r="A29" s="296" t="str">
        <f>IF(Parameters!B52="Y", Parameters!A52&amp;Parameters!G52, "")</f>
        <v/>
      </c>
      <c r="C29" s="297"/>
      <c r="E29" s="297"/>
      <c r="F29" t="str">
        <f>IF(Parameters!B52="Y", Parameters!A52&amp;Parameters!G52, "")</f>
        <v/>
      </c>
      <c r="G29" s="300">
        <f>'Service Costs'!C38</f>
        <v>0</v>
      </c>
      <c r="I29" s="297"/>
      <c r="J29" t="str">
        <f>IF(Parameters!B52="Y", Parameters!A52&amp;Parameters!G52, "")</f>
        <v/>
      </c>
      <c r="K29" s="300">
        <f>'Service Costs'!G38</f>
        <v>0</v>
      </c>
      <c r="M29" s="297"/>
      <c r="O29" s="297"/>
      <c r="Q29" s="297"/>
      <c r="S29" s="297"/>
      <c r="U29" s="297"/>
      <c r="W29" s="297"/>
      <c r="Y29" s="297"/>
      <c r="AA29" s="297"/>
    </row>
    <row r="30" spans="1:27">
      <c r="A30" s="296" t="str">
        <f>'Service Costs'!A46</f>
        <v xml:space="preserve">         Misc - 1</v>
      </c>
      <c r="C30" s="297"/>
      <c r="E30" s="297"/>
      <c r="F30" t="str">
        <f>'Service Costs'!A46</f>
        <v xml:space="preserve">         Misc - 1</v>
      </c>
      <c r="G30" s="300">
        <f>'Service Costs'!C46</f>
        <v>0</v>
      </c>
      <c r="I30" s="297"/>
      <c r="K30" s="297"/>
      <c r="L30" t="str">
        <f>'Service Costs'!A46</f>
        <v xml:space="preserve">         Misc - 1</v>
      </c>
      <c r="M30" s="300">
        <f>'Service Costs'!G46</f>
        <v>0</v>
      </c>
      <c r="O30" s="297"/>
      <c r="Q30" s="297"/>
      <c r="S30" s="297"/>
      <c r="U30" s="297"/>
      <c r="W30" s="297"/>
      <c r="Y30" s="297"/>
      <c r="AA30" s="297"/>
    </row>
    <row r="31" spans="1:27">
      <c r="A31" s="296" t="str">
        <f>'Service Costs'!A47</f>
        <v xml:space="preserve">         Misc - 2</v>
      </c>
      <c r="C31" s="297"/>
      <c r="E31" s="297"/>
      <c r="F31" t="str">
        <f>'Service Costs'!A47</f>
        <v xml:space="preserve">         Misc - 2</v>
      </c>
      <c r="G31" s="300">
        <f>'Service Costs'!C47</f>
        <v>0</v>
      </c>
      <c r="I31" s="297"/>
      <c r="K31" s="297"/>
      <c r="L31" t="str">
        <f>'Service Costs'!A47</f>
        <v xml:space="preserve">         Misc - 2</v>
      </c>
      <c r="M31" s="300">
        <f>'Service Costs'!G47</f>
        <v>0</v>
      </c>
      <c r="O31" s="297"/>
      <c r="Q31" s="297"/>
      <c r="S31" s="297"/>
      <c r="U31" s="297"/>
      <c r="W31" s="297"/>
      <c r="Y31" s="297"/>
      <c r="AA31" s="297"/>
    </row>
    <row r="32" spans="1:27" ht="14.65" thickBot="1">
      <c r="A32" s="296" t="str">
        <f>'Service Costs'!A48</f>
        <v xml:space="preserve">         Misc - 3</v>
      </c>
      <c r="B32" s="295"/>
      <c r="C32" s="305"/>
      <c r="D32" s="295"/>
      <c r="E32" s="305"/>
      <c r="F32" s="306" t="str">
        <f>'Service Costs'!A48</f>
        <v xml:space="preserve">         Misc - 3</v>
      </c>
      <c r="G32" s="307">
        <f>'Service Costs'!C48</f>
        <v>0</v>
      </c>
      <c r="H32" s="295"/>
      <c r="I32" s="305"/>
      <c r="J32" s="295"/>
      <c r="K32" s="305"/>
      <c r="L32" s="306" t="str">
        <f>'Service Costs'!A48</f>
        <v xml:space="preserve">         Misc - 3</v>
      </c>
      <c r="M32" s="307">
        <f>'Service Costs'!G48</f>
        <v>0</v>
      </c>
      <c r="N32" s="295"/>
      <c r="O32" s="305"/>
      <c r="P32" s="295"/>
      <c r="Q32" s="305"/>
      <c r="R32" s="295"/>
      <c r="S32" s="305"/>
      <c r="T32" s="295"/>
      <c r="U32" s="305"/>
      <c r="V32" s="295"/>
      <c r="W32" s="305"/>
      <c r="X32" s="295"/>
      <c r="Y32" s="305"/>
      <c r="Z32" s="306"/>
      <c r="AA32" s="305"/>
    </row>
    <row r="33" spans="2:27" ht="14.65" thickTop="1">
      <c r="B33" s="354" t="s">
        <v>142</v>
      </c>
      <c r="C33" s="354"/>
      <c r="D33" s="354"/>
      <c r="E33" s="354"/>
      <c r="F33" s="354"/>
      <c r="G33" s="354"/>
      <c r="H33" s="354" t="s">
        <v>143</v>
      </c>
      <c r="I33" s="354"/>
      <c r="J33" s="354"/>
      <c r="K33" s="354"/>
      <c r="L33" s="354"/>
      <c r="M33" s="354"/>
      <c r="N33" s="354"/>
      <c r="O33" s="354"/>
      <c r="P33" s="354" t="s">
        <v>183</v>
      </c>
      <c r="Q33" s="354"/>
      <c r="R33" s="354"/>
      <c r="S33" s="354"/>
      <c r="T33" s="354"/>
      <c r="U33" s="354"/>
      <c r="V33" s="354"/>
      <c r="W33" s="354"/>
      <c r="X33" s="354" t="s">
        <v>184</v>
      </c>
      <c r="Y33" s="354"/>
      <c r="Z33" s="354" t="s">
        <v>181</v>
      </c>
      <c r="AA33" s="354"/>
    </row>
    <row r="34" spans="2:27">
      <c r="B34" s="8"/>
      <c r="C34" s="8" t="s">
        <v>185</v>
      </c>
      <c r="D34" s="8"/>
      <c r="E34" s="8" t="s">
        <v>185</v>
      </c>
      <c r="F34" s="8"/>
      <c r="G34" s="8" t="s">
        <v>185</v>
      </c>
      <c r="H34" s="8"/>
      <c r="I34" s="8" t="s">
        <v>185</v>
      </c>
      <c r="J34" s="8"/>
      <c r="K34" s="8" t="s">
        <v>185</v>
      </c>
      <c r="L34" s="8"/>
      <c r="M34" s="8" t="s">
        <v>185</v>
      </c>
      <c r="N34" s="8"/>
      <c r="O34" s="8" t="s">
        <v>185</v>
      </c>
      <c r="P34" s="8"/>
      <c r="Q34" s="8" t="s">
        <v>185</v>
      </c>
      <c r="R34" s="8"/>
      <c r="S34" s="8"/>
      <c r="T34" s="8"/>
      <c r="U34" s="8" t="s">
        <v>185</v>
      </c>
      <c r="V34" s="8"/>
      <c r="W34" s="8" t="s">
        <v>185</v>
      </c>
      <c r="X34" s="8"/>
      <c r="Y34" s="8" t="s">
        <v>185</v>
      </c>
      <c r="Z34" s="8"/>
      <c r="AA34" s="8" t="s">
        <v>185</v>
      </c>
    </row>
    <row r="35" spans="2:27">
      <c r="B35" s="8" t="s">
        <v>186</v>
      </c>
      <c r="C35" s="308">
        <v>0.95</v>
      </c>
      <c r="D35" s="308" t="s">
        <v>187</v>
      </c>
      <c r="E35" s="308">
        <v>1</v>
      </c>
      <c r="F35" s="8" t="s">
        <v>188</v>
      </c>
      <c r="G35" s="308">
        <v>1</v>
      </c>
      <c r="H35" s="8" t="s">
        <v>189</v>
      </c>
      <c r="I35" s="308">
        <v>0.9</v>
      </c>
      <c r="J35" s="8" t="s">
        <v>190</v>
      </c>
      <c r="K35" s="309">
        <v>0.9</v>
      </c>
      <c r="L35" s="8" t="s">
        <v>191</v>
      </c>
      <c r="M35" s="309">
        <v>0.9</v>
      </c>
      <c r="N35" s="8" t="s">
        <v>192</v>
      </c>
      <c r="O35" s="309">
        <v>0.8</v>
      </c>
      <c r="P35" s="8" t="s">
        <v>193</v>
      </c>
      <c r="Q35" s="310">
        <v>0.6</v>
      </c>
      <c r="R35" s="8" t="s">
        <v>193</v>
      </c>
      <c r="S35" s="310">
        <v>1</v>
      </c>
      <c r="T35" s="8" t="s">
        <v>194</v>
      </c>
      <c r="U35" s="310">
        <v>0.4</v>
      </c>
      <c r="V35" s="8" t="s">
        <v>195</v>
      </c>
      <c r="W35" s="310">
        <v>0.2</v>
      </c>
      <c r="X35" s="8" t="s">
        <v>196</v>
      </c>
      <c r="Y35" s="309">
        <v>0.7</v>
      </c>
      <c r="Z35" s="8" t="s">
        <v>189</v>
      </c>
      <c r="AA35" s="309">
        <v>0.25</v>
      </c>
    </row>
    <row r="36" spans="2:27">
      <c r="B36" s="8" t="s">
        <v>197</v>
      </c>
      <c r="C36" s="308">
        <v>0.05</v>
      </c>
      <c r="D36" s="308"/>
      <c r="E36" s="308"/>
      <c r="F36" s="8"/>
      <c r="G36" s="8"/>
      <c r="H36" s="8" t="s">
        <v>198</v>
      </c>
      <c r="I36" s="308">
        <v>0.1</v>
      </c>
      <c r="J36" s="8" t="s">
        <v>198</v>
      </c>
      <c r="K36" s="308">
        <v>0.1</v>
      </c>
      <c r="L36" s="8" t="s">
        <v>199</v>
      </c>
      <c r="M36" s="309">
        <v>0.1</v>
      </c>
      <c r="N36" s="8" t="s">
        <v>200</v>
      </c>
      <c r="O36" s="309">
        <v>0.2</v>
      </c>
      <c r="P36" s="8" t="s">
        <v>201</v>
      </c>
      <c r="Q36" s="309">
        <v>0.4</v>
      </c>
      <c r="R36" s="309"/>
      <c r="S36" s="309"/>
      <c r="T36" s="8" t="s">
        <v>202</v>
      </c>
      <c r="U36" s="309">
        <v>0.4</v>
      </c>
      <c r="V36" s="129"/>
      <c r="W36" s="129"/>
      <c r="X36" s="8" t="s">
        <v>203</v>
      </c>
      <c r="Y36" s="309">
        <v>0.3</v>
      </c>
      <c r="Z36" s="8" t="s">
        <v>190</v>
      </c>
      <c r="AA36" s="309">
        <v>0.25</v>
      </c>
    </row>
    <row r="37" spans="2:27">
      <c r="B37" s="8"/>
      <c r="C37" s="8"/>
      <c r="D37" s="8"/>
      <c r="E37" s="8"/>
      <c r="F37" s="8"/>
      <c r="G37" s="8"/>
      <c r="H37" s="8"/>
      <c r="I37" s="8"/>
      <c r="J37" s="8"/>
      <c r="K37" s="8"/>
      <c r="L37" s="8"/>
      <c r="M37" s="8"/>
      <c r="N37" s="8"/>
      <c r="O37" s="8"/>
      <c r="P37" s="8"/>
      <c r="Q37" s="8"/>
      <c r="R37" s="8"/>
      <c r="S37" s="8"/>
      <c r="T37" s="8" t="s">
        <v>204</v>
      </c>
      <c r="U37" s="311">
        <v>0.2</v>
      </c>
      <c r="V37" s="8"/>
      <c r="W37" s="87"/>
      <c r="X37" s="87"/>
      <c r="Y37" s="8"/>
      <c r="Z37" s="87" t="s">
        <v>205</v>
      </c>
      <c r="AA37" s="309">
        <v>0.25</v>
      </c>
    </row>
    <row r="38" spans="2:27">
      <c r="B38" s="8"/>
      <c r="C38" s="8"/>
      <c r="D38" s="8"/>
      <c r="E38" s="8"/>
      <c r="F38" s="8"/>
      <c r="G38" s="8"/>
      <c r="H38" s="8"/>
      <c r="I38" s="8"/>
      <c r="J38" s="8"/>
      <c r="K38" s="8"/>
      <c r="L38" s="8"/>
      <c r="M38" s="8"/>
      <c r="N38" s="8"/>
      <c r="O38" s="8"/>
      <c r="P38" s="8"/>
      <c r="Q38" s="8"/>
      <c r="R38" s="8"/>
      <c r="S38" s="8"/>
      <c r="T38" s="8"/>
      <c r="U38" s="8"/>
      <c r="V38" s="8"/>
      <c r="W38" s="8"/>
      <c r="X38" s="8"/>
      <c r="Y38" s="8"/>
      <c r="Z38" s="8" t="s">
        <v>193</v>
      </c>
      <c r="AA38" s="309">
        <v>0.25</v>
      </c>
    </row>
    <row r="45" spans="2:27">
      <c r="B45" s="2" t="s">
        <v>148</v>
      </c>
      <c r="C45" t="e" cm="1">
        <f t="array" ref="C45">SUM((C35*(C6:C15)),(I35*(I6:I13)),(U35*(U6:U9)),(AA35*(AA6)))</f>
        <v>#REF!</v>
      </c>
    </row>
    <row r="46" spans="2:27">
      <c r="B46" s="2" t="s">
        <v>150</v>
      </c>
      <c r="C46" t="e" cm="1">
        <f t="array" ref="C46">SUM((E35*(E6:E19)),(K35*(K6:K31)),(U36*(U6:U9)),(AA36*(AA6)))</f>
        <v>#REF!</v>
      </c>
    </row>
    <row r="47" spans="2:27">
      <c r="B47" s="2" t="s">
        <v>153</v>
      </c>
      <c r="C47" cm="1">
        <f t="array" ref="C47">SUM((G35*(G6:G32)),(AA37*(AA6)))</f>
        <v>66</v>
      </c>
    </row>
    <row r="48" spans="2:27">
      <c r="B48" s="2" t="s">
        <v>156</v>
      </c>
      <c r="C48">
        <f>SUM(Y35*Y6)</f>
        <v>62.999999999999993</v>
      </c>
    </row>
    <row r="49" spans="2:3">
      <c r="B49" s="2" t="s">
        <v>158</v>
      </c>
      <c r="C49">
        <f>SUM(Y36*Y6)</f>
        <v>27</v>
      </c>
    </row>
    <row r="50" spans="2:3">
      <c r="B50" s="2" t="s">
        <v>160</v>
      </c>
      <c r="C50" cm="1">
        <f t="array" ref="C50">SUM((M35*(M6:M31)),(U37*(U6:U9)))</f>
        <v>114.00000000000001</v>
      </c>
    </row>
    <row r="51" spans="2:3">
      <c r="B51" s="2" t="s">
        <v>161</v>
      </c>
      <c r="C51" cm="1">
        <f t="array" ref="C51">SUM((O35*(O6:O31)),(W35*(W6:W9)))</f>
        <v>0</v>
      </c>
    </row>
    <row r="52" spans="2:3">
      <c r="B52" s="2" t="s">
        <v>163</v>
      </c>
      <c r="C52" cm="1">
        <f t="array" ref="C52">SUM((M36*(M6:M31)),(Q36*(Q6:Q31)))</f>
        <v>18</v>
      </c>
    </row>
    <row r="53" spans="2:3">
      <c r="B53" s="2" t="s">
        <v>165</v>
      </c>
      <c r="C53" cm="1">
        <f t="array" ref="C53">SUM((Q35*(Q6:Q31)),(S35*(S6:S9)),(AA38*(AA6)))</f>
        <v>47.6</v>
      </c>
    </row>
    <row r="54" spans="2:3">
      <c r="B54" s="2" t="s">
        <v>166</v>
      </c>
      <c r="C54" t="e" cm="1">
        <f t="array" ref="C54">SUM((C36*(C6:C31)),(K36*(K6:K31)),(I36*(I6:I31)))</f>
        <v>#REF!</v>
      </c>
    </row>
  </sheetData>
  <mergeCells count="5">
    <mergeCell ref="B33:G33"/>
    <mergeCell ref="H33:O33"/>
    <mergeCell ref="P33:W33"/>
    <mergeCell ref="X33:Y33"/>
    <mergeCell ref="Z33:AA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F4EE-BF6A-4AFB-8A60-18F7A0FC230D}">
  <sheetPr>
    <pageSetUpPr fitToPage="1"/>
  </sheetPr>
  <dimension ref="A1:P14"/>
  <sheetViews>
    <sheetView workbookViewId="0">
      <selection sqref="A1:P1"/>
    </sheetView>
  </sheetViews>
  <sheetFormatPr defaultColWidth="8.7109375" defaultRowHeight="14.45"/>
  <cols>
    <col min="1" max="1" width="33.28515625" customWidth="1"/>
    <col min="2" max="3" width="10.140625" style="78" customWidth="1"/>
    <col min="4" max="7" width="9.28515625" style="78" customWidth="1"/>
    <col min="8" max="8" width="1.7109375" style="7" customWidth="1"/>
    <col min="9" max="9" width="10.28515625" style="7" customWidth="1"/>
    <col min="10" max="14" width="12.28515625" style="7" customWidth="1"/>
    <col min="15" max="15" width="1.7109375" style="7" customWidth="1"/>
    <col min="16" max="16" width="36.140625" customWidth="1"/>
  </cols>
  <sheetData>
    <row r="1" spans="1:16" ht="14.65" thickBot="1">
      <c r="A1" s="344" t="str">
        <f>"Travel Calculations - "&amp;Parameters!G3</f>
        <v>Travel Calculations - TELLER CLIENT, STATE</v>
      </c>
      <c r="B1" s="345"/>
      <c r="C1" s="345"/>
      <c r="D1" s="345"/>
      <c r="E1" s="345"/>
      <c r="F1" s="345"/>
      <c r="G1" s="345"/>
      <c r="H1" s="345"/>
      <c r="I1" s="345"/>
      <c r="J1" s="345"/>
      <c r="K1" s="345"/>
      <c r="L1" s="345"/>
      <c r="M1" s="345"/>
      <c r="N1" s="345"/>
      <c r="O1" s="345"/>
      <c r="P1" s="366"/>
    </row>
    <row r="2" spans="1:16" ht="15" thickTop="1" thickBot="1">
      <c r="A2" s="367"/>
      <c r="B2" s="367"/>
      <c r="C2" s="367"/>
      <c r="D2" s="367"/>
      <c r="E2" s="367"/>
      <c r="F2" s="367"/>
      <c r="G2" s="367"/>
      <c r="H2" s="367"/>
      <c r="I2" s="367"/>
      <c r="J2" s="367"/>
      <c r="K2" s="367"/>
      <c r="L2" s="367"/>
      <c r="M2" s="367"/>
      <c r="N2" s="367"/>
      <c r="O2" s="367"/>
    </row>
    <row r="3" spans="1:16" ht="43.9" thickTop="1" thickBot="1">
      <c r="A3" s="160" t="s">
        <v>6</v>
      </c>
      <c r="B3" s="161" t="s">
        <v>206</v>
      </c>
      <c r="C3" s="161" t="s">
        <v>207</v>
      </c>
      <c r="D3" s="161" t="s">
        <v>208</v>
      </c>
      <c r="E3" s="161" t="s">
        <v>209</v>
      </c>
      <c r="F3" s="161" t="s">
        <v>210</v>
      </c>
      <c r="G3" s="161" t="s">
        <v>211</v>
      </c>
      <c r="H3" s="207"/>
      <c r="I3" s="162" t="s">
        <v>212</v>
      </c>
      <c r="J3" s="162" t="s">
        <v>213</v>
      </c>
      <c r="K3" s="162" t="s">
        <v>214</v>
      </c>
      <c r="L3" s="162" t="s">
        <v>215</v>
      </c>
      <c r="M3" s="162" t="s">
        <v>216</v>
      </c>
      <c r="N3" s="162" t="s">
        <v>217</v>
      </c>
      <c r="O3" s="207"/>
      <c r="P3" s="208" t="s">
        <v>6</v>
      </c>
    </row>
    <row r="4" spans="1:16" ht="18.95" thickTop="1" thickBot="1">
      <c r="A4" s="209"/>
      <c r="B4" s="184"/>
      <c r="C4" s="184"/>
      <c r="D4" s="184"/>
      <c r="E4" s="184"/>
      <c r="F4" s="184"/>
      <c r="G4" s="184"/>
      <c r="H4" s="199"/>
      <c r="I4" s="185"/>
      <c r="J4" s="189"/>
      <c r="K4" s="189"/>
      <c r="L4" s="189"/>
      <c r="M4" s="189"/>
      <c r="N4" s="189"/>
      <c r="O4" s="199"/>
      <c r="P4" s="210"/>
    </row>
    <row r="5" spans="1:16" ht="15" thickTop="1" thickBot="1">
      <c r="A5" s="157" t="s">
        <v>218</v>
      </c>
      <c r="B5" s="228" t="s">
        <v>6</v>
      </c>
      <c r="C5" s="228" t="s">
        <v>6</v>
      </c>
      <c r="D5" s="229" t="s">
        <v>6</v>
      </c>
      <c r="E5" s="229" t="s">
        <v>6</v>
      </c>
      <c r="F5" s="244" t="s">
        <v>6</v>
      </c>
      <c r="G5" s="230" t="s">
        <v>6</v>
      </c>
      <c r="H5" s="196"/>
      <c r="I5" s="231"/>
      <c r="J5" s="231"/>
      <c r="K5" s="232"/>
      <c r="L5" s="232"/>
      <c r="M5" s="232"/>
      <c r="N5" s="232"/>
      <c r="O5" s="199"/>
      <c r="P5" s="206"/>
    </row>
    <row r="6" spans="1:16" ht="14.65" thickTop="1">
      <c r="A6" s="34" t="s">
        <v>6</v>
      </c>
      <c r="B6" s="159" t="s">
        <v>6</v>
      </c>
      <c r="C6" s="159" t="s">
        <v>6</v>
      </c>
      <c r="D6" s="159" t="s">
        <v>6</v>
      </c>
      <c r="E6" s="159" t="s">
        <v>6</v>
      </c>
      <c r="F6" s="159" t="s">
        <v>6</v>
      </c>
      <c r="G6" s="159" t="s">
        <v>6</v>
      </c>
      <c r="H6" s="196"/>
      <c r="I6" s="187" t="s">
        <v>6</v>
      </c>
      <c r="J6" s="190" t="s">
        <v>6</v>
      </c>
      <c r="K6" s="190" t="s">
        <v>6</v>
      </c>
      <c r="L6" s="190" t="s">
        <v>6</v>
      </c>
      <c r="M6" s="190" t="s">
        <v>6</v>
      </c>
      <c r="N6" s="190" t="s">
        <v>6</v>
      </c>
      <c r="O6" s="196"/>
      <c r="P6" s="211" t="s">
        <v>6</v>
      </c>
    </row>
    <row r="7" spans="1:16">
      <c r="A7" s="34" t="s">
        <v>162</v>
      </c>
      <c r="B7" s="219">
        <f>VariablesandTravel!$C27</f>
        <v>16</v>
      </c>
      <c r="C7" s="31">
        <f>B7</f>
        <v>16</v>
      </c>
      <c r="D7" s="219">
        <f>C7/8</f>
        <v>2</v>
      </c>
      <c r="E7" s="31">
        <f t="shared" ref="E7:E9" si="0">C7/8</f>
        <v>2</v>
      </c>
      <c r="F7" s="219">
        <f>VariablesandTravel!$E27</f>
        <v>2</v>
      </c>
      <c r="G7" s="31">
        <f>F7</f>
        <v>2</v>
      </c>
      <c r="H7" s="197"/>
      <c r="I7" s="239">
        <f>VariablesandTravel!$C$5*G7</f>
        <v>1840</v>
      </c>
      <c r="J7" s="239">
        <f>VariablesandTravel!$C$15*G7</f>
        <v>1700</v>
      </c>
      <c r="K7" s="239">
        <f>IF(B7&gt;0, (VariablesandTravel!$C$20*(E7+1)), 0)</f>
        <v>375</v>
      </c>
      <c r="L7" s="239">
        <f>SUM(VariablesandTravel!$C$18, VariablesandTravel!$C$19, VariablesandTravel!$C$21) * (E7 + 1) * G7</f>
        <v>1590</v>
      </c>
      <c r="M7" s="239">
        <f>SUM(J7+K7+L7)</f>
        <v>3665</v>
      </c>
      <c r="N7" s="14">
        <f>M7</f>
        <v>3665</v>
      </c>
      <c r="O7" s="197"/>
      <c r="P7" s="212" t="s">
        <v>6</v>
      </c>
    </row>
    <row r="8" spans="1:16">
      <c r="A8" s="34" t="s">
        <v>164</v>
      </c>
      <c r="B8" s="219">
        <f>IF(Parameters_BidirectionalInterfaceCount&gt;2, VariablesandTravel!$C31, 0)</f>
        <v>16</v>
      </c>
      <c r="C8" s="31">
        <f>B8</f>
        <v>16</v>
      </c>
      <c r="D8" s="219">
        <f>C8/8</f>
        <v>2</v>
      </c>
      <c r="E8" s="31">
        <f t="shared" si="0"/>
        <v>2</v>
      </c>
      <c r="F8" s="219">
        <f>IF(Parameters_BidirectionalInterfaceCount &gt; 2, VariablesandTravel!$E31, 0)</f>
        <v>1</v>
      </c>
      <c r="G8" s="31">
        <f>F8</f>
        <v>1</v>
      </c>
      <c r="H8" s="197"/>
      <c r="I8" s="239">
        <f>VariablesandTravel!$C$5*G8</f>
        <v>920</v>
      </c>
      <c r="J8" s="239">
        <f>VariablesandTravel!$C$15*G8</f>
        <v>850</v>
      </c>
      <c r="K8" s="239">
        <f>IF(B8&gt;0, (VariablesandTravel!$C$20*(E8+1)), 0)</f>
        <v>375</v>
      </c>
      <c r="L8" s="239">
        <f>SUM(VariablesandTravel!$C$18, VariablesandTravel!$C$19, VariablesandTravel!$C$21) * (E8 + 1) * G8</f>
        <v>795</v>
      </c>
      <c r="M8" s="239">
        <f>SUM(J8+K8+L8)</f>
        <v>2020</v>
      </c>
      <c r="N8" s="14">
        <f>M8</f>
        <v>2020</v>
      </c>
      <c r="O8" s="197"/>
      <c r="P8" s="212" t="s">
        <v>6</v>
      </c>
    </row>
    <row r="9" spans="1:16">
      <c r="A9" s="32" t="s">
        <v>154</v>
      </c>
      <c r="B9" s="219">
        <f>VariablesandTravel!$C35</f>
        <v>16</v>
      </c>
      <c r="C9" s="31">
        <f>B9</f>
        <v>16</v>
      </c>
      <c r="D9" s="219">
        <f>C9/8</f>
        <v>2</v>
      </c>
      <c r="E9" s="31">
        <f t="shared" si="0"/>
        <v>2</v>
      </c>
      <c r="F9" s="219">
        <f>VariablesandTravel!$E35</f>
        <v>2</v>
      </c>
      <c r="G9" s="31">
        <f>F9</f>
        <v>2</v>
      </c>
      <c r="H9" s="197"/>
      <c r="I9" s="239">
        <f>VariablesandTravel!$C$5*G9</f>
        <v>1840</v>
      </c>
      <c r="J9" s="239">
        <f>VariablesandTravel!$C$15*G9</f>
        <v>1700</v>
      </c>
      <c r="K9" s="239">
        <f>IF(B9&gt;0, (VariablesandTravel!$C$20*(E9+1)), 0)</f>
        <v>375</v>
      </c>
      <c r="L9" s="239">
        <f>SUM(VariablesandTravel!$C$18, VariablesandTravel!$C$19, VariablesandTravel!$C$21) * (E9 + 1) * G9</f>
        <v>1590</v>
      </c>
      <c r="M9" s="239">
        <f>SUM(J9+K9+L9)</f>
        <v>3665</v>
      </c>
      <c r="N9" s="14">
        <f>M9</f>
        <v>3665</v>
      </c>
      <c r="O9" s="197"/>
      <c r="P9" s="211" t="s">
        <v>6</v>
      </c>
    </row>
    <row r="10" spans="1:16">
      <c r="A10" s="32" t="s">
        <v>167</v>
      </c>
      <c r="B10" s="219">
        <f>VariablesandTravel!$C39</f>
        <v>16</v>
      </c>
      <c r="C10" s="31">
        <f>B10</f>
        <v>16</v>
      </c>
      <c r="D10" s="219">
        <f>C10/8</f>
        <v>2</v>
      </c>
      <c r="E10" s="31">
        <f>D10</f>
        <v>2</v>
      </c>
      <c r="F10" s="219">
        <f>VariablesandTravel!$E39</f>
        <v>1</v>
      </c>
      <c r="G10" s="31">
        <f>F10</f>
        <v>1</v>
      </c>
      <c r="H10" s="197"/>
      <c r="I10" s="239">
        <f>VariablesandTravel!$C$5*G10</f>
        <v>920</v>
      </c>
      <c r="J10" s="239">
        <f>VariablesandTravel!$C$15*G10</f>
        <v>850</v>
      </c>
      <c r="K10" s="239">
        <f>IF(B10&gt;0, (VariablesandTravel!$C$20*(E10+1)), 0)</f>
        <v>375</v>
      </c>
      <c r="L10" s="239">
        <f>SUM(VariablesandTravel!$C$18, VariablesandTravel!$C$19, VariablesandTravel!$C$21) * (E10 + 1) * G10</f>
        <v>795</v>
      </c>
      <c r="M10" s="239">
        <f>SUM(J10+K10+L10)</f>
        <v>2020</v>
      </c>
      <c r="N10" s="14">
        <f>M10</f>
        <v>2020</v>
      </c>
      <c r="O10" s="197"/>
      <c r="P10" s="212" t="s">
        <v>6</v>
      </c>
    </row>
    <row r="11" spans="1:16">
      <c r="A11" s="32" t="s">
        <v>219</v>
      </c>
      <c r="B11" s="31"/>
      <c r="C11" s="31"/>
      <c r="D11" s="31"/>
      <c r="E11" s="31"/>
      <c r="F11" s="31"/>
      <c r="G11" s="31"/>
      <c r="H11" s="197"/>
      <c r="I11" s="139"/>
      <c r="J11" s="191"/>
      <c r="K11" s="191"/>
      <c r="L11" s="191"/>
      <c r="M11" s="191"/>
      <c r="N11" s="191"/>
      <c r="O11" s="197"/>
      <c r="P11" s="212"/>
    </row>
    <row r="12" spans="1:16">
      <c r="A12" s="32" t="s">
        <v>6</v>
      </c>
      <c r="B12" s="31"/>
      <c r="C12" s="31"/>
      <c r="D12" s="31"/>
      <c r="E12" s="31"/>
      <c r="F12" s="31"/>
      <c r="G12" s="31"/>
      <c r="H12" s="197"/>
      <c r="I12" s="187"/>
      <c r="J12" s="191"/>
      <c r="K12" s="191"/>
      <c r="L12" s="191"/>
      <c r="M12" s="191"/>
      <c r="N12" s="191"/>
      <c r="O12" s="197"/>
      <c r="P12" s="212"/>
    </row>
    <row r="13" spans="1:16" ht="14.65" thickBot="1">
      <c r="A13" s="213" t="s">
        <v>134</v>
      </c>
      <c r="B13" s="214">
        <f t="shared" ref="B13:G13" si="1">SUM(B6:B12)</f>
        <v>64</v>
      </c>
      <c r="C13" s="214">
        <f t="shared" si="1"/>
        <v>64</v>
      </c>
      <c r="D13" s="214">
        <f t="shared" si="1"/>
        <v>8</v>
      </c>
      <c r="E13" s="214">
        <f t="shared" si="1"/>
        <v>8</v>
      </c>
      <c r="F13" s="214">
        <f t="shared" si="1"/>
        <v>6</v>
      </c>
      <c r="G13" s="214">
        <f t="shared" si="1"/>
        <v>6</v>
      </c>
      <c r="H13" s="217" t="s">
        <v>6</v>
      </c>
      <c r="I13" s="215">
        <f t="shared" ref="I13:N13" si="2">SUM(I6:I12)</f>
        <v>5520</v>
      </c>
      <c r="J13" s="216">
        <f t="shared" si="2"/>
        <v>5100</v>
      </c>
      <c r="K13" s="216">
        <f t="shared" si="2"/>
        <v>1500</v>
      </c>
      <c r="L13" s="216">
        <f t="shared" si="2"/>
        <v>4770</v>
      </c>
      <c r="M13" s="216">
        <f t="shared" si="2"/>
        <v>11370</v>
      </c>
      <c r="N13" s="216">
        <f t="shared" si="2"/>
        <v>11370</v>
      </c>
      <c r="O13" s="217" t="s">
        <v>6</v>
      </c>
      <c r="P13" s="218" t="s">
        <v>6</v>
      </c>
    </row>
    <row r="14" spans="1:16" ht="14.65" thickTop="1"/>
  </sheetData>
  <mergeCells count="2">
    <mergeCell ref="A1:P1"/>
    <mergeCell ref="A2:O2"/>
  </mergeCells>
  <printOptions gridLines="1"/>
  <pageMargins left="0.7" right="0.7" top="0.75" bottom="0.75" header="0.3" footer="0.3"/>
  <pageSetup scale="72" fitToWidth="0"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BAEB-3B84-4F8A-9168-ACD0CD015D60}">
  <sheetPr codeName="Sheet7">
    <pageSetUpPr fitToPage="1"/>
  </sheetPr>
  <dimension ref="A1:G35"/>
  <sheetViews>
    <sheetView workbookViewId="0">
      <selection activeCell="C14" sqref="C14"/>
    </sheetView>
  </sheetViews>
  <sheetFormatPr defaultColWidth="8.7109375" defaultRowHeight="14.45"/>
  <cols>
    <col min="1" max="1" width="34.140625" customWidth="1"/>
    <col min="2" max="2" width="30.140625" style="7" customWidth="1"/>
    <col min="3" max="3" width="15.42578125" style="7" customWidth="1"/>
    <col min="4" max="4" width="10.140625" style="7" customWidth="1"/>
    <col min="5" max="5" width="4.42578125" hidden="1" customWidth="1"/>
    <col min="6" max="6" width="16.7109375" style="7" customWidth="1"/>
    <col min="7" max="7" width="3.140625" customWidth="1"/>
    <col min="11" max="11" width="8.7109375" customWidth="1"/>
  </cols>
  <sheetData>
    <row r="1" spans="1:7" ht="19.5" thickBot="1">
      <c r="A1" s="355" t="str">
        <f>Parameters!G3</f>
        <v>TELLER CLIENT, STATE</v>
      </c>
      <c r="B1" s="356"/>
      <c r="C1" s="356"/>
      <c r="D1" s="356"/>
      <c r="E1" s="356"/>
      <c r="F1" s="356"/>
      <c r="G1" s="356"/>
    </row>
    <row r="2" spans="1:7" ht="19.5" thickBot="1">
      <c r="A2" s="336" t="s">
        <v>220</v>
      </c>
      <c r="B2" s="364"/>
      <c r="C2" s="364"/>
      <c r="D2" s="364"/>
      <c r="E2" s="364"/>
      <c r="F2" s="364"/>
      <c r="G2" s="364"/>
    </row>
    <row r="3" spans="1:7">
      <c r="A3" s="40"/>
      <c r="B3" s="41"/>
      <c r="C3" s="41"/>
      <c r="D3" s="41"/>
      <c r="E3" s="40"/>
      <c r="F3" s="41"/>
      <c r="G3" s="40"/>
    </row>
    <row r="4" spans="1:7" ht="30.6" customHeight="1">
      <c r="A4" s="246" t="s">
        <v>221</v>
      </c>
      <c r="B4" s="247" t="s">
        <v>222</v>
      </c>
      <c r="C4" s="247" t="s">
        <v>223</v>
      </c>
      <c r="D4" s="248" t="s">
        <v>224</v>
      </c>
      <c r="E4" s="249" t="s">
        <v>6</v>
      </c>
      <c r="F4" s="249" t="s">
        <v>225</v>
      </c>
      <c r="G4" s="65"/>
    </row>
    <row r="5" spans="1:7" ht="15.6">
      <c r="A5" s="42"/>
      <c r="B5" s="43"/>
      <c r="C5" s="43"/>
      <c r="D5" s="44"/>
      <c r="E5" s="45"/>
      <c r="F5" s="43"/>
      <c r="G5" s="46"/>
    </row>
    <row r="6" spans="1:7" s="21" customFormat="1" ht="31.15">
      <c r="A6" s="250" t="s">
        <v>226</v>
      </c>
      <c r="B6" s="251" t="s">
        <v>227</v>
      </c>
      <c r="C6" s="252">
        <v>312</v>
      </c>
      <c r="D6" s="253">
        <v>0</v>
      </c>
      <c r="E6" s="254"/>
      <c r="F6" s="255">
        <f t="shared" ref="F6:F18" si="0">IF(D6&gt;0,(C6*D6),0)</f>
        <v>0</v>
      </c>
      <c r="G6" s="256"/>
    </row>
    <row r="7" spans="1:7" s="21" customFormat="1" ht="15.6" hidden="1">
      <c r="A7" s="47" t="s">
        <v>226</v>
      </c>
      <c r="B7" s="52" t="s">
        <v>6</v>
      </c>
      <c r="C7" s="48">
        <v>0</v>
      </c>
      <c r="D7" s="53">
        <v>0</v>
      </c>
      <c r="E7" s="49"/>
      <c r="F7" s="50">
        <f t="shared" si="0"/>
        <v>0</v>
      </c>
      <c r="G7" s="51"/>
    </row>
    <row r="8" spans="1:7" s="21" customFormat="1" ht="15.6">
      <c r="A8" s="47" t="s">
        <v>6</v>
      </c>
      <c r="B8" s="52" t="s">
        <v>6</v>
      </c>
      <c r="C8" s="54" t="s">
        <v>6</v>
      </c>
      <c r="D8" s="53"/>
      <c r="E8" s="49"/>
      <c r="F8" s="50" t="s">
        <v>6</v>
      </c>
      <c r="G8" s="51"/>
    </row>
    <row r="9" spans="1:7" s="21" customFormat="1" ht="15.6">
      <c r="A9" s="250" t="s">
        <v>228</v>
      </c>
      <c r="B9" s="257" t="s">
        <v>229</v>
      </c>
      <c r="C9" s="258">
        <v>523</v>
      </c>
      <c r="D9" s="259">
        <v>0</v>
      </c>
      <c r="E9" s="254"/>
      <c r="F9" s="255">
        <f t="shared" si="0"/>
        <v>0</v>
      </c>
      <c r="G9" s="260"/>
    </row>
    <row r="10" spans="1:7" s="21" customFormat="1" ht="15.6" hidden="1">
      <c r="A10" s="47" t="s">
        <v>230</v>
      </c>
      <c r="B10" s="52" t="s">
        <v>6</v>
      </c>
      <c r="C10" s="54">
        <v>0</v>
      </c>
      <c r="D10" s="55">
        <v>0</v>
      </c>
      <c r="E10" s="49"/>
      <c r="F10" s="50">
        <f t="shared" si="0"/>
        <v>0</v>
      </c>
      <c r="G10" s="56"/>
    </row>
    <row r="11" spans="1:7" s="21" customFormat="1" ht="15.6">
      <c r="A11" s="47" t="s">
        <v>6</v>
      </c>
      <c r="B11" s="52" t="s">
        <v>6</v>
      </c>
      <c r="C11" s="54" t="s">
        <v>6</v>
      </c>
      <c r="D11" s="55" t="s">
        <v>6</v>
      </c>
      <c r="E11" s="49"/>
      <c r="F11" s="50" t="s">
        <v>6</v>
      </c>
      <c r="G11" s="56"/>
    </row>
    <row r="12" spans="1:7" s="21" customFormat="1" ht="15.6">
      <c r="A12" s="250" t="s">
        <v>231</v>
      </c>
      <c r="B12" s="257" t="s">
        <v>232</v>
      </c>
      <c r="C12" s="258">
        <v>1175</v>
      </c>
      <c r="D12" s="259">
        <v>0</v>
      </c>
      <c r="E12" s="254"/>
      <c r="F12" s="255">
        <f>IF(D12&gt;0,(C12*D12),0)</f>
        <v>0</v>
      </c>
      <c r="G12" s="260"/>
    </row>
    <row r="13" spans="1:7" s="21" customFormat="1" ht="15.6" hidden="1">
      <c r="A13" s="47" t="s">
        <v>230</v>
      </c>
      <c r="B13" s="52" t="s">
        <v>6</v>
      </c>
      <c r="C13" s="54">
        <v>0</v>
      </c>
      <c r="D13" s="55">
        <v>0</v>
      </c>
      <c r="E13" s="49"/>
      <c r="F13" s="50">
        <f>IF(D13&gt;0,(C13*D13),0)</f>
        <v>0</v>
      </c>
      <c r="G13" s="56"/>
    </row>
    <row r="14" spans="1:7" s="21" customFormat="1" ht="15.6">
      <c r="A14" s="47" t="s">
        <v>6</v>
      </c>
      <c r="B14" s="52" t="s">
        <v>6</v>
      </c>
      <c r="C14" s="54" t="s">
        <v>6</v>
      </c>
      <c r="D14" s="55" t="s">
        <v>6</v>
      </c>
      <c r="E14" s="49"/>
      <c r="F14" s="50" t="s">
        <v>6</v>
      </c>
      <c r="G14" s="56"/>
    </row>
    <row r="15" spans="1:7" s="21" customFormat="1" ht="29.85" customHeight="1">
      <c r="A15" s="250" t="s">
        <v>233</v>
      </c>
      <c r="B15" s="257" t="s">
        <v>234</v>
      </c>
      <c r="C15" s="258">
        <v>406</v>
      </c>
      <c r="D15" s="259">
        <v>0</v>
      </c>
      <c r="E15" s="254"/>
      <c r="F15" s="255">
        <f t="shared" si="0"/>
        <v>0</v>
      </c>
      <c r="G15" s="260"/>
    </row>
    <row r="16" spans="1:7" s="21" customFormat="1" ht="15.6" hidden="1">
      <c r="A16" s="47" t="s">
        <v>233</v>
      </c>
      <c r="B16" s="52" t="s">
        <v>6</v>
      </c>
      <c r="C16" s="54">
        <v>0</v>
      </c>
      <c r="D16" s="55">
        <v>0</v>
      </c>
      <c r="E16" s="49"/>
      <c r="F16" s="50">
        <f t="shared" si="0"/>
        <v>0</v>
      </c>
      <c r="G16" s="56"/>
    </row>
    <row r="17" spans="1:7" s="21" customFormat="1" ht="15.6">
      <c r="A17" s="47" t="s">
        <v>6</v>
      </c>
      <c r="B17" s="52" t="s">
        <v>6</v>
      </c>
      <c r="C17" s="54" t="s">
        <v>6</v>
      </c>
      <c r="D17" s="52" t="s">
        <v>6</v>
      </c>
      <c r="E17" s="57"/>
      <c r="F17" s="50" t="s">
        <v>6</v>
      </c>
      <c r="G17" s="56"/>
    </row>
    <row r="18" spans="1:7" s="21" customFormat="1" ht="31.15">
      <c r="A18" s="250" t="s">
        <v>235</v>
      </c>
      <c r="B18" s="257" t="s">
        <v>236</v>
      </c>
      <c r="C18" s="258">
        <v>786</v>
      </c>
      <c r="D18" s="257">
        <v>0</v>
      </c>
      <c r="E18" s="261"/>
      <c r="F18" s="255">
        <f t="shared" si="0"/>
        <v>0</v>
      </c>
      <c r="G18" s="260"/>
    </row>
    <row r="19" spans="1:7" s="21" customFormat="1" ht="15.6">
      <c r="A19" s="47" t="s">
        <v>6</v>
      </c>
      <c r="B19" s="52" t="s">
        <v>6</v>
      </c>
      <c r="C19" s="54" t="s">
        <v>6</v>
      </c>
      <c r="D19" s="52" t="s">
        <v>6</v>
      </c>
      <c r="E19" s="57"/>
      <c r="F19" s="50" t="s">
        <v>6</v>
      </c>
      <c r="G19" s="56"/>
    </row>
    <row r="20" spans="1:7" s="21" customFormat="1" ht="15.6">
      <c r="A20" s="250" t="s">
        <v>237</v>
      </c>
      <c r="B20" s="257" t="s">
        <v>238</v>
      </c>
      <c r="C20" s="258">
        <v>2912</v>
      </c>
      <c r="D20" s="257">
        <v>0</v>
      </c>
      <c r="E20" s="261"/>
      <c r="F20" s="255">
        <f>IF(D20&gt;0,(C20*D20),0)</f>
        <v>0</v>
      </c>
      <c r="G20" s="260"/>
    </row>
    <row r="21" spans="1:7" s="21" customFormat="1" ht="15.95" thickBot="1">
      <c r="A21" s="47" t="s">
        <v>6</v>
      </c>
      <c r="B21" s="52" t="s">
        <v>6</v>
      </c>
      <c r="C21" s="54" t="s">
        <v>6</v>
      </c>
      <c r="D21" s="52" t="s">
        <v>6</v>
      </c>
      <c r="E21" s="57"/>
      <c r="F21" s="50" t="s">
        <v>6</v>
      </c>
      <c r="G21" s="56"/>
    </row>
    <row r="22" spans="1:7" ht="31.35" customHeight="1" thickBot="1">
      <c r="A22" s="262" t="s">
        <v>239</v>
      </c>
      <c r="B22" s="263" t="s">
        <v>6</v>
      </c>
      <c r="C22" s="264" t="s">
        <v>6</v>
      </c>
      <c r="D22" s="263">
        <f>SUM(D6:D19)</f>
        <v>0</v>
      </c>
      <c r="E22" s="265"/>
      <c r="F22" s="266">
        <f>SUM(F6:F21)</f>
        <v>0</v>
      </c>
      <c r="G22" s="75"/>
    </row>
    <row r="25" spans="1:7" ht="23.1">
      <c r="A25" s="61" t="s">
        <v>240</v>
      </c>
    </row>
    <row r="27" spans="1:7" ht="28.9">
      <c r="A27" s="5" t="s">
        <v>241</v>
      </c>
    </row>
    <row r="28" spans="1:7" ht="15" customHeight="1"/>
    <row r="33" ht="30" customHeight="1"/>
    <row r="35" ht="30" customHeight="1"/>
  </sheetData>
  <mergeCells count="2">
    <mergeCell ref="A1:G1"/>
    <mergeCell ref="A2:G2"/>
  </mergeCells>
  <printOptions gridLines="1"/>
  <pageMargins left="0.7" right="0.7" top="0.75" bottom="0.75" header="0.3" footer="0.3"/>
  <pageSetup scale="72" fitToWidth="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AF9F-CD38-4896-BE07-8AB92EB1AC66}">
  <dimension ref="A1:F87"/>
  <sheetViews>
    <sheetView topLeftCell="A38" workbookViewId="0">
      <selection sqref="A1:D1"/>
    </sheetView>
  </sheetViews>
  <sheetFormatPr defaultColWidth="8.7109375" defaultRowHeight="14.45"/>
  <cols>
    <col min="1" max="1" width="45.42578125" customWidth="1"/>
    <col min="2" max="2" width="19.140625" style="102" customWidth="1"/>
    <col min="3" max="3" width="19.140625" style="13" customWidth="1"/>
    <col min="4" max="4" width="59.42578125" customWidth="1"/>
    <col min="5" max="5" width="15.28515625" customWidth="1"/>
    <col min="6" max="6" width="14.85546875" customWidth="1"/>
    <col min="7" max="7" width="12.85546875" customWidth="1"/>
  </cols>
  <sheetData>
    <row r="1" spans="1:5" ht="15" customHeight="1" thickTop="1" thickBot="1">
      <c r="A1" s="357" t="str">
        <f>"Variables Software - "&amp;Parameters!G3</f>
        <v>Variables Software - TELLER CLIENT, STATE</v>
      </c>
      <c r="B1" s="358"/>
      <c r="C1" s="359"/>
      <c r="D1" s="360"/>
    </row>
    <row r="2" spans="1:5" ht="15" customHeight="1" thickTop="1" thickBot="1">
      <c r="A2" s="124" t="s">
        <v>242</v>
      </c>
      <c r="B2" s="127" t="s">
        <v>243</v>
      </c>
      <c r="C2" s="98" t="s">
        <v>244</v>
      </c>
      <c r="D2" s="97" t="s">
        <v>2</v>
      </c>
    </row>
    <row r="3" spans="1:5" ht="15" customHeight="1" thickTop="1">
      <c r="A3" s="34" t="s">
        <v>245</v>
      </c>
      <c r="B3" s="104">
        <v>1</v>
      </c>
      <c r="C3" s="15">
        <v>2950</v>
      </c>
      <c r="D3" s="35" t="s">
        <v>246</v>
      </c>
    </row>
    <row r="4" spans="1:5" ht="15" customHeight="1">
      <c r="A4" s="32" t="s">
        <v>247</v>
      </c>
      <c r="B4" s="16">
        <v>1</v>
      </c>
      <c r="C4" s="14">
        <v>995</v>
      </c>
      <c r="D4" s="33" t="s">
        <v>248</v>
      </c>
    </row>
    <row r="5" spans="1:5" ht="15" customHeight="1">
      <c r="A5" s="32" t="s">
        <v>249</v>
      </c>
      <c r="B5" s="16">
        <v>1</v>
      </c>
      <c r="C5" s="14">
        <v>60</v>
      </c>
      <c r="D5" s="33"/>
    </row>
    <row r="6" spans="1:5" ht="15" customHeight="1">
      <c r="A6" s="32" t="s">
        <v>250</v>
      </c>
      <c r="B6" s="16">
        <v>1</v>
      </c>
      <c r="C6" s="14">
        <v>60</v>
      </c>
      <c r="D6" s="33" t="s">
        <v>251</v>
      </c>
    </row>
    <row r="7" spans="1:5" ht="15" customHeight="1" thickBot="1">
      <c r="A7" s="126"/>
      <c r="B7" s="16" t="s">
        <v>6</v>
      </c>
      <c r="C7" s="14" t="s">
        <v>6</v>
      </c>
      <c r="D7" s="33" t="s">
        <v>6</v>
      </c>
    </row>
    <row r="8" spans="1:5" ht="15" customHeight="1" thickTop="1" thickBot="1">
      <c r="A8" s="124" t="s">
        <v>252</v>
      </c>
      <c r="B8" s="125"/>
      <c r="C8" s="105"/>
      <c r="D8" s="106"/>
      <c r="E8" s="329" t="s">
        <v>253</v>
      </c>
    </row>
    <row r="9" spans="1:5" ht="15" customHeight="1" thickTop="1">
      <c r="A9" s="17" t="s">
        <v>254</v>
      </c>
      <c r="B9" s="108">
        <v>0</v>
      </c>
      <c r="C9" s="109">
        <v>170</v>
      </c>
      <c r="D9" s="110" t="s">
        <v>255</v>
      </c>
      <c r="E9" s="328">
        <f t="shared" ref="E9:E15" si="0">C9/B10</f>
        <v>1.1332577828144791E-2</v>
      </c>
    </row>
    <row r="10" spans="1:5" ht="15" customHeight="1">
      <c r="A10" s="8"/>
      <c r="B10" s="16">
        <v>15001</v>
      </c>
      <c r="C10" s="14">
        <v>340</v>
      </c>
      <c r="D10" s="33"/>
      <c r="E10" s="328">
        <f t="shared" si="0"/>
        <v>1.1332955568147729E-2</v>
      </c>
    </row>
    <row r="11" spans="1:5" ht="15" customHeight="1">
      <c r="A11" s="8"/>
      <c r="B11" s="16">
        <v>30001</v>
      </c>
      <c r="C11" s="14">
        <v>680</v>
      </c>
      <c r="D11" s="33"/>
      <c r="E11" s="328">
        <f t="shared" si="0"/>
        <v>1.1333144447592539E-2</v>
      </c>
    </row>
    <row r="12" spans="1:5" ht="15" customHeight="1">
      <c r="A12" s="8"/>
      <c r="B12" s="16">
        <v>60001</v>
      </c>
      <c r="C12" s="14">
        <v>1030</v>
      </c>
      <c r="D12" s="33"/>
      <c r="E12" s="328">
        <f t="shared" si="0"/>
        <v>1.0299897001029989E-2</v>
      </c>
    </row>
    <row r="13" spans="1:5" ht="15" customHeight="1">
      <c r="A13" s="8"/>
      <c r="B13" s="16">
        <v>100001</v>
      </c>
      <c r="C13" s="14">
        <v>1350</v>
      </c>
      <c r="D13" s="33"/>
      <c r="E13" s="328">
        <f t="shared" si="0"/>
        <v>8.9999400003999974E-3</v>
      </c>
    </row>
    <row r="14" spans="1:5" ht="15" customHeight="1">
      <c r="A14" s="8"/>
      <c r="B14" s="16">
        <v>150001</v>
      </c>
      <c r="C14" s="14">
        <v>1600</v>
      </c>
      <c r="D14" s="33"/>
      <c r="E14" s="328">
        <f t="shared" si="0"/>
        <v>7.9999600001999984E-3</v>
      </c>
    </row>
    <row r="15" spans="1:5" ht="15" customHeight="1">
      <c r="A15" s="8"/>
      <c r="B15" s="16">
        <v>200001</v>
      </c>
      <c r="C15" s="14">
        <v>3500</v>
      </c>
      <c r="D15" s="33"/>
      <c r="E15" s="328">
        <f t="shared" si="0"/>
        <v>6.9999860000279999E-3</v>
      </c>
    </row>
    <row r="16" spans="1:5" ht="15" customHeight="1" thickBot="1">
      <c r="A16" s="111"/>
      <c r="B16" s="112">
        <v>500001</v>
      </c>
      <c r="C16" s="113"/>
      <c r="D16" s="114"/>
      <c r="E16" s="328"/>
    </row>
    <row r="17" spans="1:6" ht="15" customHeight="1" thickBot="1">
      <c r="A17" s="115"/>
      <c r="B17" s="116"/>
      <c r="C17" s="117"/>
      <c r="D17" s="118"/>
    </row>
    <row r="18" spans="1:6" ht="15.6" customHeight="1" thickBot="1">
      <c r="A18" s="119" t="s">
        <v>256</v>
      </c>
      <c r="B18" s="120">
        <v>1</v>
      </c>
      <c r="C18" s="292">
        <v>0.65</v>
      </c>
      <c r="D18" s="122" t="s">
        <v>257</v>
      </c>
    </row>
    <row r="19" spans="1:6" ht="15.6" customHeight="1">
      <c r="A19" s="115" t="s">
        <v>258</v>
      </c>
      <c r="B19" s="116"/>
      <c r="C19" s="14">
        <v>170</v>
      </c>
      <c r="D19" s="118"/>
    </row>
    <row r="20" spans="1:6" ht="15" customHeight="1" thickBot="1">
      <c r="A20" s="115"/>
      <c r="B20" s="116"/>
      <c r="C20" s="117"/>
      <c r="D20" s="118"/>
    </row>
    <row r="21" spans="1:6" ht="15" customHeight="1">
      <c r="A21" s="107" t="s">
        <v>259</v>
      </c>
      <c r="B21" s="108">
        <v>0</v>
      </c>
      <c r="C21" s="109">
        <v>450</v>
      </c>
      <c r="D21" s="110" t="s">
        <v>260</v>
      </c>
    </row>
    <row r="22" spans="1:6" ht="15" customHeight="1">
      <c r="A22" s="8"/>
      <c r="B22" s="16">
        <v>10</v>
      </c>
      <c r="C22" s="14">
        <v>570</v>
      </c>
      <c r="D22" s="33"/>
    </row>
    <row r="23" spans="1:6" ht="15" customHeight="1">
      <c r="A23" s="8"/>
      <c r="B23" s="16">
        <v>25</v>
      </c>
      <c r="C23" s="14">
        <v>700</v>
      </c>
      <c r="D23" s="33"/>
    </row>
    <row r="24" spans="1:6" ht="15" customHeight="1" thickBot="1">
      <c r="A24" s="111"/>
      <c r="B24" s="112">
        <v>999</v>
      </c>
      <c r="C24" s="113">
        <v>900</v>
      </c>
      <c r="D24" s="114"/>
    </row>
    <row r="25" spans="1:6" ht="15" customHeight="1" thickBot="1">
      <c r="A25" s="115"/>
      <c r="B25" s="116"/>
      <c r="C25" s="117"/>
      <c r="D25" s="118"/>
    </row>
    <row r="26" spans="1:6" ht="15" customHeight="1">
      <c r="A26" s="107" t="s">
        <v>261</v>
      </c>
      <c r="B26" s="108">
        <v>0</v>
      </c>
      <c r="C26" s="109">
        <v>750</v>
      </c>
      <c r="D26" s="110" t="s">
        <v>262</v>
      </c>
    </row>
    <row r="27" spans="1:6" ht="15" customHeight="1">
      <c r="A27" s="8"/>
      <c r="B27" s="16">
        <v>3</v>
      </c>
      <c r="C27" s="14">
        <v>850</v>
      </c>
      <c r="D27" s="33"/>
    </row>
    <row r="28" spans="1:6" ht="15" customHeight="1">
      <c r="A28" s="8"/>
      <c r="B28" s="16">
        <v>5</v>
      </c>
      <c r="C28" s="14">
        <v>1000</v>
      </c>
      <c r="D28" s="33"/>
    </row>
    <row r="29" spans="1:6" ht="15" customHeight="1">
      <c r="A29" s="8"/>
      <c r="B29" s="16">
        <v>10</v>
      </c>
      <c r="C29" s="14">
        <v>5000</v>
      </c>
      <c r="D29" s="33"/>
    </row>
    <row r="30" spans="1:6" ht="15" customHeight="1" thickBot="1">
      <c r="A30" s="111"/>
      <c r="B30" s="112">
        <v>20</v>
      </c>
      <c r="C30" s="113">
        <v>10000</v>
      </c>
      <c r="D30" s="114"/>
    </row>
    <row r="31" spans="1:6" ht="15" customHeight="1" thickBot="1">
      <c r="A31" s="115"/>
      <c r="B31" s="116" t="s">
        <v>6</v>
      </c>
      <c r="C31" s="117" t="s">
        <v>6</v>
      </c>
      <c r="D31" s="118"/>
      <c r="E31" t="s">
        <v>263</v>
      </c>
    </row>
    <row r="32" spans="1:6" ht="15" customHeight="1" thickBot="1">
      <c r="A32" s="107" t="s">
        <v>264</v>
      </c>
      <c r="B32" s="108">
        <v>0</v>
      </c>
      <c r="C32" s="109">
        <v>700</v>
      </c>
      <c r="D32" s="110" t="s">
        <v>265</v>
      </c>
      <c r="E32" s="330">
        <f t="shared" ref="E32:E37" si="1">0.15*1.1*1.04</f>
        <v>0.1716</v>
      </c>
      <c r="F32" s="332">
        <f>E32*1.04</f>
        <v>0.17846400000000001</v>
      </c>
    </row>
    <row r="33" spans="1:6" ht="15" customHeight="1" thickBot="1">
      <c r="A33" s="8"/>
      <c r="B33" s="16">
        <v>50001</v>
      </c>
      <c r="C33" s="109">
        <f t="shared" ref="C33:C43" si="2">(B34-1)*E33/12</f>
        <v>1430</v>
      </c>
      <c r="D33" s="33"/>
      <c r="E33" s="330">
        <f t="shared" si="1"/>
        <v>0.1716</v>
      </c>
      <c r="F33" s="332">
        <f t="shared" ref="F33:F43" si="3">E33*1.04</f>
        <v>0.17846400000000001</v>
      </c>
    </row>
    <row r="34" spans="1:6" ht="15" customHeight="1" thickBot="1">
      <c r="A34" s="8"/>
      <c r="B34" s="16">
        <v>100001</v>
      </c>
      <c r="C34" s="109">
        <f t="shared" si="2"/>
        <v>2145</v>
      </c>
      <c r="D34" s="33"/>
      <c r="E34" s="330">
        <f t="shared" si="1"/>
        <v>0.1716</v>
      </c>
      <c r="F34" s="332">
        <f t="shared" si="3"/>
        <v>0.17846400000000001</v>
      </c>
    </row>
    <row r="35" spans="1:6" ht="15" customHeight="1" thickBot="1">
      <c r="A35" s="8"/>
      <c r="B35" s="16">
        <v>150001</v>
      </c>
      <c r="C35" s="109">
        <f t="shared" si="2"/>
        <v>2860</v>
      </c>
      <c r="D35" s="9"/>
      <c r="E35" s="330">
        <f t="shared" si="1"/>
        <v>0.1716</v>
      </c>
      <c r="F35" s="332">
        <f t="shared" si="3"/>
        <v>0.17846400000000001</v>
      </c>
    </row>
    <row r="36" spans="1:6" ht="15" customHeight="1" thickBot="1">
      <c r="A36" s="8"/>
      <c r="B36" s="16">
        <v>200001</v>
      </c>
      <c r="C36" s="109">
        <f t="shared" si="2"/>
        <v>3575</v>
      </c>
      <c r="D36" s="33"/>
      <c r="E36" s="330">
        <f t="shared" si="1"/>
        <v>0.1716</v>
      </c>
      <c r="F36" s="332">
        <f t="shared" si="3"/>
        <v>0.17846400000000001</v>
      </c>
    </row>
    <row r="37" spans="1:6" ht="15" customHeight="1" thickBot="1">
      <c r="A37" s="8"/>
      <c r="B37" s="16">
        <v>250001</v>
      </c>
      <c r="C37" s="109">
        <f t="shared" si="2"/>
        <v>4290</v>
      </c>
      <c r="D37" s="33"/>
      <c r="E37" s="330">
        <f t="shared" si="1"/>
        <v>0.1716</v>
      </c>
      <c r="F37" s="332">
        <f t="shared" si="3"/>
        <v>0.17846400000000001</v>
      </c>
    </row>
    <row r="38" spans="1:6" ht="15" customHeight="1" thickBot="1">
      <c r="A38" s="8"/>
      <c r="B38" s="16">
        <v>300001</v>
      </c>
      <c r="C38" s="109">
        <f t="shared" si="2"/>
        <v>5338.666666666667</v>
      </c>
      <c r="D38" s="9"/>
      <c r="E38" s="331">
        <f>0.14*1.1*1.04</f>
        <v>0.16016000000000002</v>
      </c>
      <c r="F38" s="332">
        <f t="shared" si="3"/>
        <v>0.16656640000000003</v>
      </c>
    </row>
    <row r="39" spans="1:6" ht="15" customHeight="1" thickBot="1">
      <c r="A39" s="8"/>
      <c r="B39" s="16">
        <v>400001</v>
      </c>
      <c r="C39" s="109">
        <f t="shared" si="2"/>
        <v>6673.3333333333348</v>
      </c>
      <c r="D39" s="33"/>
      <c r="E39" s="331">
        <f>0.14*1.1*1.04</f>
        <v>0.16016000000000002</v>
      </c>
      <c r="F39" s="332">
        <f t="shared" si="3"/>
        <v>0.16656640000000003</v>
      </c>
    </row>
    <row r="40" spans="1:6" ht="15" customHeight="1" thickBot="1">
      <c r="A40" s="8"/>
      <c r="B40" s="16">
        <v>500001</v>
      </c>
      <c r="C40" s="109">
        <f t="shared" si="2"/>
        <v>7436.0000000000009</v>
      </c>
      <c r="D40" s="33"/>
      <c r="E40" s="330">
        <f>0.13*1.1*1.04</f>
        <v>0.14872000000000002</v>
      </c>
      <c r="F40" s="332">
        <f t="shared" si="3"/>
        <v>0.15466880000000002</v>
      </c>
    </row>
    <row r="41" spans="1:6" ht="15" customHeight="1" thickBot="1">
      <c r="A41" s="8"/>
      <c r="B41" s="16">
        <v>600001</v>
      </c>
      <c r="C41" s="109">
        <f t="shared" si="2"/>
        <v>8675.3333333333339</v>
      </c>
      <c r="D41" s="33"/>
      <c r="E41" s="330">
        <f>0.13*1.1*1.04</f>
        <v>0.14872000000000002</v>
      </c>
      <c r="F41" s="332">
        <f t="shared" si="3"/>
        <v>0.15466880000000002</v>
      </c>
    </row>
    <row r="42" spans="1:6" ht="15" customHeight="1" thickBot="1">
      <c r="A42" s="8"/>
      <c r="B42" s="16">
        <v>700001</v>
      </c>
      <c r="C42" s="109">
        <f t="shared" si="2"/>
        <v>9152.0000000000018</v>
      </c>
      <c r="D42" s="33"/>
      <c r="E42" s="330">
        <f>0.12*1.1*1.04</f>
        <v>0.13728000000000001</v>
      </c>
      <c r="F42" s="332">
        <f t="shared" si="3"/>
        <v>0.14277120000000001</v>
      </c>
    </row>
    <row r="43" spans="1:6" ht="15" customHeight="1">
      <c r="A43" s="8"/>
      <c r="B43" s="16">
        <v>800001</v>
      </c>
      <c r="C43" s="109">
        <f t="shared" si="2"/>
        <v>10296.000000000002</v>
      </c>
      <c r="D43" s="33"/>
      <c r="E43" s="330">
        <f>0.12*1.1*1.04</f>
        <v>0.13728000000000001</v>
      </c>
      <c r="F43" s="332">
        <f t="shared" si="3"/>
        <v>0.14277120000000001</v>
      </c>
    </row>
    <row r="44" spans="1:6" ht="15" customHeight="1">
      <c r="A44" s="8"/>
      <c r="B44" s="16">
        <v>900001</v>
      </c>
      <c r="C44" s="14"/>
      <c r="D44" s="33"/>
      <c r="E44" s="269"/>
    </row>
    <row r="45" spans="1:6" ht="15" customHeight="1" thickBot="1">
      <c r="A45" s="115"/>
      <c r="B45" s="116" t="s">
        <v>6</v>
      </c>
      <c r="C45" s="117" t="s">
        <v>6</v>
      </c>
      <c r="D45" s="118"/>
      <c r="E45" s="269"/>
    </row>
    <row r="46" spans="1:6" ht="15" customHeight="1">
      <c r="A46" s="107" t="s">
        <v>266</v>
      </c>
      <c r="B46" s="326">
        <v>0</v>
      </c>
      <c r="C46" s="107"/>
      <c r="D46" s="107" t="s">
        <v>267</v>
      </c>
      <c r="E46" s="269"/>
    </row>
    <row r="47" spans="1:6" ht="15" customHeight="1">
      <c r="A47" s="115"/>
      <c r="B47" s="327">
        <v>1</v>
      </c>
      <c r="C47" s="117">
        <v>50</v>
      </c>
      <c r="D47" s="25"/>
      <c r="E47" s="269"/>
    </row>
    <row r="48" spans="1:6" ht="15" customHeight="1">
      <c r="A48" s="115"/>
      <c r="B48" s="116">
        <v>2</v>
      </c>
      <c r="C48" s="117">
        <v>100</v>
      </c>
      <c r="D48" s="118"/>
      <c r="E48" s="269"/>
    </row>
    <row r="49" spans="1:5" ht="15" customHeight="1">
      <c r="A49" s="115"/>
      <c r="B49" s="116">
        <v>5</v>
      </c>
      <c r="C49" s="117">
        <v>200</v>
      </c>
      <c r="D49" s="118"/>
      <c r="E49" s="269"/>
    </row>
    <row r="50" spans="1:5" ht="15" customHeight="1">
      <c r="A50" s="115"/>
      <c r="B50" s="116">
        <v>10</v>
      </c>
      <c r="C50" s="117">
        <v>300</v>
      </c>
      <c r="D50" s="118"/>
      <c r="E50" s="269"/>
    </row>
    <row r="51" spans="1:5" ht="15" customHeight="1">
      <c r="A51" s="115"/>
      <c r="B51" s="116">
        <v>15</v>
      </c>
      <c r="C51" s="117">
        <v>400</v>
      </c>
      <c r="D51" s="118"/>
      <c r="E51" s="269"/>
    </row>
    <row r="52" spans="1:5" ht="15" customHeight="1">
      <c r="A52" s="115"/>
      <c r="B52" s="116">
        <v>25</v>
      </c>
      <c r="C52" s="117">
        <v>500</v>
      </c>
      <c r="D52" s="118"/>
      <c r="E52" s="269"/>
    </row>
    <row r="53" spans="1:5" ht="15" customHeight="1" thickBot="1">
      <c r="A53" s="115"/>
      <c r="B53" s="116" t="s">
        <v>6</v>
      </c>
      <c r="C53" s="117" t="s">
        <v>6</v>
      </c>
      <c r="D53" s="118"/>
    </row>
    <row r="54" spans="1:5" ht="15" customHeight="1" thickTop="1" thickBot="1">
      <c r="A54" s="124" t="s">
        <v>268</v>
      </c>
      <c r="B54" s="123"/>
      <c r="C54" s="15"/>
      <c r="D54" s="35"/>
    </row>
    <row r="55" spans="1:5" ht="15" customHeight="1" thickTop="1">
      <c r="A55" s="34" t="s">
        <v>269</v>
      </c>
      <c r="B55" s="16">
        <v>1</v>
      </c>
      <c r="C55" s="14">
        <v>285</v>
      </c>
      <c r="D55" s="33"/>
    </row>
    <row r="56" spans="1:5" ht="15" customHeight="1" thickBot="1">
      <c r="A56" s="111" t="s">
        <v>270</v>
      </c>
      <c r="B56" s="112">
        <v>1</v>
      </c>
      <c r="C56" s="113">
        <v>170</v>
      </c>
      <c r="D56" s="114"/>
    </row>
    <row r="57" spans="1:5" ht="15" customHeight="1">
      <c r="A57" s="32" t="s">
        <v>271</v>
      </c>
      <c r="B57" s="16">
        <v>1</v>
      </c>
      <c r="C57" s="14">
        <v>170</v>
      </c>
      <c r="D57" s="33"/>
    </row>
    <row r="58" spans="1:5" ht="15" customHeight="1">
      <c r="A58" s="32" t="s">
        <v>272</v>
      </c>
      <c r="B58" s="16">
        <v>1</v>
      </c>
      <c r="C58" s="14">
        <v>0</v>
      </c>
      <c r="D58" s="33"/>
    </row>
    <row r="59" spans="1:5" ht="15" customHeight="1" thickBot="1">
      <c r="A59" s="115"/>
      <c r="B59" s="116" t="s">
        <v>6</v>
      </c>
      <c r="C59" s="117" t="s">
        <v>6</v>
      </c>
      <c r="D59" s="118"/>
    </row>
    <row r="60" spans="1:5" ht="15" customHeight="1" thickTop="1" thickBot="1">
      <c r="A60" s="124" t="s">
        <v>273</v>
      </c>
      <c r="B60" s="123"/>
      <c r="C60" s="15"/>
      <c r="D60" s="35"/>
    </row>
    <row r="61" spans="1:5" ht="15" customHeight="1" thickTop="1">
      <c r="A61" s="34" t="s">
        <v>274</v>
      </c>
      <c r="B61" s="16">
        <v>1</v>
      </c>
      <c r="C61" s="131">
        <v>1.04</v>
      </c>
      <c r="D61" s="33"/>
    </row>
    <row r="62" spans="1:5" ht="15" customHeight="1">
      <c r="A62" s="34" t="s">
        <v>275</v>
      </c>
      <c r="B62" s="16">
        <v>1</v>
      </c>
      <c r="C62" s="131">
        <v>1.04</v>
      </c>
      <c r="D62" s="33"/>
    </row>
    <row r="63" spans="1:5" ht="15" customHeight="1">
      <c r="A63" s="34" t="s">
        <v>276</v>
      </c>
      <c r="B63" s="16">
        <v>1</v>
      </c>
      <c r="C63" s="131">
        <v>1.04</v>
      </c>
      <c r="D63" s="33"/>
    </row>
    <row r="64" spans="1:5" ht="15" customHeight="1">
      <c r="A64" s="34" t="s">
        <v>277</v>
      </c>
      <c r="B64" s="16">
        <v>1</v>
      </c>
      <c r="C64" s="131">
        <v>1.04</v>
      </c>
      <c r="D64" s="33"/>
    </row>
    <row r="65" spans="1:4" ht="15" customHeight="1">
      <c r="A65" s="34" t="s">
        <v>278</v>
      </c>
      <c r="B65" s="16">
        <v>1</v>
      </c>
      <c r="C65" s="131">
        <v>1.04</v>
      </c>
      <c r="D65" s="33"/>
    </row>
    <row r="66" spans="1:4" ht="15" customHeight="1">
      <c r="A66" s="34" t="s">
        <v>279</v>
      </c>
      <c r="B66" s="16">
        <v>1</v>
      </c>
      <c r="C66" s="131">
        <v>1.04</v>
      </c>
      <c r="D66" s="33"/>
    </row>
    <row r="67" spans="1:4" ht="15" customHeight="1">
      <c r="A67" s="34" t="s">
        <v>280</v>
      </c>
      <c r="B67" s="16">
        <v>1</v>
      </c>
      <c r="C67" s="131">
        <v>1.04</v>
      </c>
      <c r="D67" s="33"/>
    </row>
    <row r="68" spans="1:4" ht="15" customHeight="1">
      <c r="A68" s="34" t="s">
        <v>281</v>
      </c>
      <c r="B68" s="16">
        <v>1</v>
      </c>
      <c r="C68" s="131">
        <v>1.04</v>
      </c>
      <c r="D68" s="33"/>
    </row>
    <row r="69" spans="1:4" ht="15" customHeight="1">
      <c r="A69" s="34" t="s">
        <v>282</v>
      </c>
      <c r="B69" s="16">
        <v>1</v>
      </c>
      <c r="C69" s="131">
        <v>1.04</v>
      </c>
      <c r="D69" s="33"/>
    </row>
    <row r="70" spans="1:4" ht="15" customHeight="1">
      <c r="A70" s="8"/>
      <c r="B70" s="101"/>
      <c r="C70" s="14"/>
      <c r="D70" s="14"/>
    </row>
    <row r="71" spans="1:4" ht="15" customHeight="1">
      <c r="A71" s="8"/>
      <c r="B71" s="101"/>
      <c r="C71" s="14"/>
      <c r="D71" s="14"/>
    </row>
    <row r="72" spans="1:4" ht="15" customHeight="1">
      <c r="A72" s="8"/>
      <c r="B72" s="101"/>
      <c r="C72" s="14"/>
      <c r="D72" s="14"/>
    </row>
    <row r="73" spans="1:4" ht="15" customHeight="1">
      <c r="A73" s="8"/>
      <c r="B73" s="101"/>
      <c r="C73" s="14"/>
      <c r="D73" s="8"/>
    </row>
    <row r="74" spans="1:4" ht="15" customHeight="1">
      <c r="A74" s="8"/>
      <c r="B74" s="101"/>
      <c r="C74" s="14"/>
      <c r="D74" s="8"/>
    </row>
    <row r="75" spans="1:4" ht="15" customHeight="1">
      <c r="A75" s="8"/>
      <c r="B75" s="101"/>
      <c r="C75" s="14"/>
      <c r="D75" s="8"/>
    </row>
    <row r="76" spans="1:4" ht="15" customHeight="1">
      <c r="A76" s="8"/>
      <c r="B76" s="101"/>
      <c r="C76" s="14"/>
      <c r="D76" s="8"/>
    </row>
    <row r="77" spans="1:4" ht="15" customHeight="1">
      <c r="A77" s="8"/>
      <c r="B77" s="101"/>
      <c r="C77" s="14"/>
      <c r="D77" s="8"/>
    </row>
    <row r="78" spans="1:4" ht="15" customHeight="1">
      <c r="A78" s="8"/>
      <c r="B78" s="101"/>
      <c r="C78" s="14"/>
      <c r="D78" s="8"/>
    </row>
    <row r="79" spans="1:4" ht="15" customHeight="1">
      <c r="A79" s="8"/>
      <c r="B79" s="101"/>
      <c r="C79" s="14"/>
      <c r="D79" s="8"/>
    </row>
    <row r="80" spans="1:4" ht="15" customHeight="1"/>
    <row r="81" ht="15" customHeight="1"/>
    <row r="82" ht="15" customHeight="1"/>
    <row r="83" ht="15" customHeight="1"/>
    <row r="84" ht="15" customHeight="1"/>
    <row r="85" ht="15" customHeight="1"/>
    <row r="86" ht="15" customHeight="1"/>
    <row r="87" ht="15" customHeight="1"/>
  </sheetData>
  <mergeCells count="1">
    <mergeCell ref="A1:D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BB30D-2C69-4459-BAE7-B7742960EB6A}">
  <dimension ref="A1:F138"/>
  <sheetViews>
    <sheetView workbookViewId="0">
      <selection activeCell="D31" sqref="D31"/>
    </sheetView>
  </sheetViews>
  <sheetFormatPr defaultColWidth="8.7109375" defaultRowHeight="14.45"/>
  <cols>
    <col min="1" max="1" width="45.42578125" customWidth="1"/>
    <col min="2" max="2" width="14.140625" style="102" customWidth="1"/>
    <col min="3" max="3" width="14.140625" style="13" customWidth="1"/>
    <col min="4" max="4" width="12" style="102" customWidth="1"/>
    <col min="5" max="5" width="34.42578125" customWidth="1"/>
  </cols>
  <sheetData>
    <row r="1" spans="1:5" ht="15" customHeight="1" thickTop="1" thickBot="1">
      <c r="A1" s="357" t="str">
        <f>"Variables Services - "&amp;Parameters!G3</f>
        <v>Variables Services - TELLER CLIENT, STATE</v>
      </c>
      <c r="B1" s="358"/>
      <c r="C1" s="359"/>
      <c r="D1" s="361"/>
      <c r="E1" s="360"/>
    </row>
    <row r="2" spans="1:5" ht="15" customHeight="1" thickTop="1" thickBot="1">
      <c r="A2" s="157" t="s">
        <v>283</v>
      </c>
      <c r="B2" s="127" t="s">
        <v>243</v>
      </c>
      <c r="C2" s="98" t="s">
        <v>244</v>
      </c>
      <c r="D2" s="99" t="s">
        <v>146</v>
      </c>
      <c r="E2" s="97" t="s">
        <v>2</v>
      </c>
    </row>
    <row r="3" spans="1:5" ht="15" customHeight="1" thickTop="1">
      <c r="A3" s="34" t="s">
        <v>284</v>
      </c>
      <c r="B3" s="104" t="s">
        <v>6</v>
      </c>
      <c r="C3" s="15">
        <v>230</v>
      </c>
      <c r="D3" s="100" t="s">
        <v>6</v>
      </c>
      <c r="E3" s="35" t="s">
        <v>6</v>
      </c>
    </row>
    <row r="4" spans="1:5" ht="15" customHeight="1">
      <c r="A4" s="32" t="s">
        <v>285</v>
      </c>
      <c r="B4" s="16" t="s">
        <v>6</v>
      </c>
      <c r="C4" s="14">
        <v>230</v>
      </c>
      <c r="D4" s="101" t="s">
        <v>6</v>
      </c>
      <c r="E4" s="33" t="s">
        <v>6</v>
      </c>
    </row>
    <row r="5" spans="1:5" ht="15" customHeight="1">
      <c r="A5" s="32"/>
      <c r="B5" s="16"/>
      <c r="C5" s="14"/>
      <c r="D5" s="101" t="s">
        <v>6</v>
      </c>
      <c r="E5" s="33" t="s">
        <v>6</v>
      </c>
    </row>
    <row r="6" spans="1:5" ht="15" customHeight="1" thickBot="1">
      <c r="A6" s="32"/>
      <c r="B6" s="16"/>
      <c r="C6" s="14"/>
      <c r="D6" s="101"/>
      <c r="E6" s="33"/>
    </row>
    <row r="7" spans="1:5" ht="15" customHeight="1" thickTop="1" thickBot="1">
      <c r="A7" s="157" t="s">
        <v>142</v>
      </c>
      <c r="B7" s="16"/>
      <c r="C7" s="14"/>
      <c r="D7" s="101"/>
      <c r="E7" s="33"/>
    </row>
    <row r="8" spans="1:5" ht="15" customHeight="1" thickTop="1">
      <c r="A8" s="32" t="s">
        <v>286</v>
      </c>
      <c r="B8" s="16" t="s">
        <v>6</v>
      </c>
      <c r="C8" s="14" t="s">
        <v>6</v>
      </c>
      <c r="D8" s="101">
        <v>56</v>
      </c>
      <c r="E8" s="33" t="s">
        <v>6</v>
      </c>
    </row>
    <row r="9" spans="1:5" ht="15" customHeight="1">
      <c r="A9" s="87" t="s">
        <v>287</v>
      </c>
      <c r="B9" s="16"/>
      <c r="C9" s="14"/>
      <c r="D9" s="101">
        <f>D8/2</f>
        <v>28</v>
      </c>
      <c r="E9" s="9"/>
    </row>
    <row r="10" spans="1:5" ht="15" customHeight="1">
      <c r="A10" s="8" t="str">
        <f>IF(Parameters_CheckRecognition_Active="Y", Parameters!A13, "")</f>
        <v xml:space="preserve">         Check Recognition/Bulk Scanning</v>
      </c>
      <c r="B10" s="16" t="s">
        <v>6</v>
      </c>
      <c r="C10" s="14"/>
      <c r="D10" s="101">
        <v>0</v>
      </c>
      <c r="E10" s="8" t="s">
        <v>288</v>
      </c>
    </row>
    <row r="11" spans="1:5" ht="15" customHeight="1">
      <c r="A11" s="8" t="str">
        <f>IF(Parameters_ImageCashLetter_Active="Y", Parameters!A15, "")</f>
        <v xml:space="preserve">         Image Cash Letter</v>
      </c>
      <c r="B11" s="16" t="s">
        <v>6</v>
      </c>
      <c r="C11" s="14"/>
      <c r="D11" s="101">
        <v>8</v>
      </c>
      <c r="E11" s="8"/>
    </row>
    <row r="12" spans="1:5">
      <c r="A12" s="8" t="str">
        <f>IF(Parameters_RevenueSubmission_Active="Y", Parameters!A16, "")</f>
        <v xml:space="preserve">         Revenue Submission</v>
      </c>
      <c r="B12" s="101">
        <v>0</v>
      </c>
      <c r="C12" s="14"/>
      <c r="D12" s="101">
        <v>8</v>
      </c>
      <c r="E12" s="8"/>
    </row>
    <row r="13" spans="1:5">
      <c r="A13" s="8"/>
      <c r="B13" s="101">
        <v>10</v>
      </c>
      <c r="C13" s="14"/>
      <c r="D13" s="101">
        <v>12</v>
      </c>
      <c r="E13" s="8"/>
    </row>
    <row r="14" spans="1:5">
      <c r="A14" s="8"/>
      <c r="B14" s="101">
        <v>25</v>
      </c>
      <c r="C14" s="14"/>
      <c r="D14" s="101">
        <v>16</v>
      </c>
      <c r="E14" s="8"/>
    </row>
    <row r="15" spans="1:5">
      <c r="A15" s="8" t="str">
        <f>IF(Parameters_TellerOnline_Active="Y", Parameters!A18&amp;" - Base", "")</f>
        <v xml:space="preserve">         Online Customer Portal - Base</v>
      </c>
      <c r="B15" s="101" t="s">
        <v>6</v>
      </c>
      <c r="C15" s="14"/>
      <c r="D15" s="101">
        <v>8</v>
      </c>
      <c r="E15" s="8"/>
    </row>
    <row r="16" spans="1:5">
      <c r="A16" s="8" t="str">
        <f>IF(Parameters_TellerOnline_Active="Y", Parameters!A18&amp;" - Per Integration", "")</f>
        <v xml:space="preserve">         Online Customer Portal - Per Integration</v>
      </c>
      <c r="B16" s="101" t="s">
        <v>6</v>
      </c>
      <c r="C16" s="14"/>
      <c r="D16" s="101">
        <v>4</v>
      </c>
      <c r="E16" s="8"/>
    </row>
    <row r="17" spans="1:5">
      <c r="A17" s="8" t="str">
        <f>IF(Parameters!B22="Y", Parameters!A22&amp;" - Existing", "")</f>
        <v xml:space="preserve">         Credit Processor  - Existing</v>
      </c>
      <c r="B17" s="101" t="s">
        <v>6</v>
      </c>
      <c r="C17" s="14"/>
      <c r="D17" s="101">
        <v>4</v>
      </c>
      <c r="E17" s="8"/>
    </row>
    <row r="18" spans="1:5">
      <c r="A18" s="8" t="str">
        <f>IF(Parameters!B22="Y", Parameters!A22&amp;" - New", "")</f>
        <v xml:space="preserve">         Credit Processor  - New</v>
      </c>
      <c r="B18" s="101" t="s">
        <v>6</v>
      </c>
      <c r="C18" s="14"/>
      <c r="D18" s="101">
        <v>16</v>
      </c>
      <c r="E18" s="8"/>
    </row>
    <row r="19" spans="1:5">
      <c r="A19" s="8" t="str">
        <f>IF(Parameters!B23="Y", Parameters!A23&amp;" - Existing", "")</f>
        <v xml:space="preserve">         Financials - Existing</v>
      </c>
      <c r="B19" s="101"/>
      <c r="C19" s="14"/>
      <c r="D19" s="101">
        <v>0</v>
      </c>
      <c r="E19" s="8"/>
    </row>
    <row r="20" spans="1:5">
      <c r="A20" s="8" t="str">
        <f>IF(Parameters!B23="Y", Parameters!A23&amp;" - New", "")</f>
        <v xml:space="preserve">         Financials - New</v>
      </c>
      <c r="B20" s="101"/>
      <c r="C20" s="14"/>
      <c r="D20" s="101">
        <v>0</v>
      </c>
      <c r="E20" s="8"/>
    </row>
    <row r="21" spans="1:5">
      <c r="A21" s="8" t="str">
        <f>IF(Parameters!B24="Y", Parameters!A24&amp;" - Existing", "")</f>
        <v xml:space="preserve">         Financials A/R - Existing</v>
      </c>
      <c r="B21" s="101"/>
      <c r="C21" s="14"/>
      <c r="D21" s="101">
        <v>8</v>
      </c>
      <c r="E21" s="8"/>
    </row>
    <row r="22" spans="1:5">
      <c r="A22" s="8" t="str">
        <f>IF(Parameters!B24="Y", Parameters!A24&amp;"  - New", "")</f>
        <v xml:space="preserve">         Financials A/R  - New</v>
      </c>
      <c r="B22" s="101"/>
      <c r="C22" s="14"/>
      <c r="D22" s="101">
        <v>16</v>
      </c>
      <c r="E22" s="8"/>
    </row>
    <row r="23" spans="1:5">
      <c r="A23" s="8" t="str">
        <f>IF(Parameters!B25="Y", Parameters!A25&amp; "- Existing", "")</f>
        <v xml:space="preserve">         Bi-Directional - - Existing</v>
      </c>
      <c r="B23" s="101"/>
      <c r="C23" s="14"/>
      <c r="D23" s="101">
        <v>8</v>
      </c>
      <c r="E23" s="165" t="s">
        <v>289</v>
      </c>
    </row>
    <row r="24" spans="1:5">
      <c r="A24" s="8" t="str">
        <f>IF(Parameters!B25="Y", Parameters!A25&amp;" - New", "")</f>
        <v xml:space="preserve">         Bi-Directional -  - New</v>
      </c>
      <c r="B24" s="101"/>
      <c r="C24" s="14"/>
      <c r="D24" s="101">
        <v>24</v>
      </c>
      <c r="E24" s="8"/>
    </row>
    <row r="25" spans="1:5">
      <c r="A25" s="8" t="str">
        <f>IF(Parameters!B45="Y", Parameters!A45&amp;" - Existing", "")</f>
        <v xml:space="preserve">         Payment Import -  - Existing</v>
      </c>
      <c r="B25" s="101"/>
      <c r="C25" s="14"/>
      <c r="D25" s="101">
        <v>8</v>
      </c>
      <c r="E25" s="8"/>
    </row>
    <row r="26" spans="1:5">
      <c r="A26" s="8" t="str">
        <f>IF(Parameters!B45="Y", Parameters!A45&amp;" - New", "")</f>
        <v xml:space="preserve">         Payment Import -  - New</v>
      </c>
      <c r="B26" s="101"/>
      <c r="C26" s="14"/>
      <c r="D26" s="101">
        <v>8</v>
      </c>
      <c r="E26" s="8"/>
    </row>
    <row r="27" spans="1:5">
      <c r="A27" s="8"/>
      <c r="B27" s="101"/>
      <c r="C27" s="14"/>
      <c r="D27" s="101"/>
      <c r="E27" s="8"/>
    </row>
    <row r="28" spans="1:5">
      <c r="A28" s="8" t="s">
        <v>290</v>
      </c>
      <c r="B28" s="101"/>
      <c r="C28" s="14"/>
      <c r="D28" s="101">
        <v>20</v>
      </c>
      <c r="E28" s="8"/>
    </row>
    <row r="29" spans="1:5">
      <c r="A29" s="8" t="s">
        <v>291</v>
      </c>
      <c r="B29" s="101"/>
      <c r="C29" s="14"/>
      <c r="D29" s="101">
        <v>40</v>
      </c>
      <c r="E29" s="8"/>
    </row>
    <row r="30" spans="1:5">
      <c r="A30" s="8" t="s">
        <v>292</v>
      </c>
      <c r="B30" s="101"/>
      <c r="C30" s="14"/>
      <c r="D30" s="101">
        <v>60</v>
      </c>
      <c r="E30" s="8"/>
    </row>
    <row r="31" spans="1:5">
      <c r="A31" s="8" t="s">
        <v>293</v>
      </c>
      <c r="B31" s="101"/>
      <c r="C31" s="14"/>
      <c r="D31" s="101">
        <v>50</v>
      </c>
      <c r="E31" s="8"/>
    </row>
    <row r="32" spans="1:5">
      <c r="A32" s="8"/>
      <c r="B32" s="101"/>
      <c r="C32" s="14"/>
      <c r="D32" s="101"/>
      <c r="E32" s="8"/>
    </row>
    <row r="33" spans="1:6" ht="14.65" thickBot="1">
      <c r="A33" s="8"/>
      <c r="B33" s="101"/>
      <c r="C33" s="14"/>
      <c r="D33" s="101"/>
      <c r="E33" s="8"/>
    </row>
    <row r="34" spans="1:6" ht="15" thickTop="1" thickBot="1">
      <c r="A34" s="157" t="s">
        <v>143</v>
      </c>
      <c r="B34" s="101"/>
      <c r="C34" s="14"/>
      <c r="D34" s="101"/>
      <c r="E34" s="8"/>
    </row>
    <row r="35" spans="1:6" ht="14.65" thickTop="1">
      <c r="A35" s="8"/>
      <c r="B35" s="101"/>
      <c r="C35" s="14"/>
      <c r="D35" s="101"/>
      <c r="E35" s="8"/>
    </row>
    <row r="36" spans="1:6">
      <c r="A36" s="8" t="s">
        <v>294</v>
      </c>
      <c r="B36" s="101" t="s">
        <v>6</v>
      </c>
      <c r="C36" s="14" t="s">
        <v>6</v>
      </c>
      <c r="D36" s="101">
        <v>16</v>
      </c>
      <c r="E36" s="8" t="s">
        <v>6</v>
      </c>
    </row>
    <row r="37" spans="1:6">
      <c r="A37" s="8" t="s">
        <v>295</v>
      </c>
      <c r="B37" s="101" t="s">
        <v>6</v>
      </c>
      <c r="C37" s="14" t="s">
        <v>6</v>
      </c>
      <c r="D37" s="101">
        <v>16</v>
      </c>
      <c r="E37" s="8" t="s">
        <v>6</v>
      </c>
    </row>
    <row r="38" spans="1:6">
      <c r="A38" s="8" t="s">
        <v>29</v>
      </c>
      <c r="B38" s="101" t="s">
        <v>6</v>
      </c>
      <c r="C38" s="14"/>
      <c r="D38" s="101">
        <v>0</v>
      </c>
      <c r="E38" s="8" t="s">
        <v>288</v>
      </c>
    </row>
    <row r="39" spans="1:6">
      <c r="A39" s="8" t="s">
        <v>296</v>
      </c>
      <c r="B39" s="101" t="s">
        <v>6</v>
      </c>
      <c r="C39" s="14"/>
      <c r="D39" s="101">
        <v>8</v>
      </c>
      <c r="E39" s="8"/>
    </row>
    <row r="40" spans="1:6">
      <c r="A40" s="8" t="s">
        <v>297</v>
      </c>
      <c r="B40" s="101" t="s">
        <v>6</v>
      </c>
      <c r="C40" s="14"/>
      <c r="D40" s="101">
        <v>12</v>
      </c>
      <c r="E40" s="8"/>
    </row>
    <row r="41" spans="1:6">
      <c r="A41" s="8" t="s">
        <v>38</v>
      </c>
      <c r="B41" s="101">
        <v>0</v>
      </c>
      <c r="C41" s="14"/>
      <c r="D41" s="101">
        <v>16</v>
      </c>
      <c r="E41" s="8"/>
    </row>
    <row r="42" spans="1:6">
      <c r="A42" s="8"/>
      <c r="B42" s="101">
        <v>10</v>
      </c>
      <c r="C42" s="14"/>
      <c r="D42" s="101">
        <v>24</v>
      </c>
      <c r="E42" s="8"/>
    </row>
    <row r="43" spans="1:6">
      <c r="A43" s="8"/>
      <c r="B43" s="101">
        <v>25</v>
      </c>
      <c r="C43" s="14"/>
      <c r="D43" s="101">
        <v>32</v>
      </c>
      <c r="E43" s="8"/>
      <c r="F43" s="7"/>
    </row>
    <row r="44" spans="1:6">
      <c r="A44" s="8" t="s">
        <v>298</v>
      </c>
      <c r="B44" s="101"/>
      <c r="C44" s="14"/>
      <c r="D44" s="101">
        <v>32</v>
      </c>
      <c r="E44" s="8"/>
      <c r="F44" s="7"/>
    </row>
    <row r="45" spans="1:6">
      <c r="A45" s="8" t="s">
        <v>299</v>
      </c>
      <c r="B45" s="101" t="s">
        <v>6</v>
      </c>
      <c r="C45" s="14"/>
      <c r="D45" s="101">
        <v>8</v>
      </c>
      <c r="E45" s="8"/>
      <c r="F45" s="7"/>
    </row>
    <row r="46" spans="1:6">
      <c r="A46" s="8" t="s">
        <v>300</v>
      </c>
      <c r="B46" s="101" t="s">
        <v>6</v>
      </c>
      <c r="C46" s="14"/>
      <c r="D46" s="101">
        <v>16</v>
      </c>
      <c r="E46" s="8"/>
      <c r="F46" s="7"/>
    </row>
    <row r="47" spans="1:6">
      <c r="A47" s="8"/>
      <c r="B47" s="101"/>
      <c r="C47" s="14"/>
      <c r="D47" s="101"/>
      <c r="E47" s="8"/>
      <c r="F47" s="7"/>
    </row>
    <row r="48" spans="1:6">
      <c r="A48" s="8" t="s">
        <v>301</v>
      </c>
      <c r="B48" s="101" t="s">
        <v>6</v>
      </c>
      <c r="C48" s="14"/>
      <c r="D48" s="101">
        <v>4</v>
      </c>
      <c r="E48" s="8"/>
    </row>
    <row r="49" spans="1:5">
      <c r="A49" s="8" t="s">
        <v>302</v>
      </c>
      <c r="B49" s="101" t="s">
        <v>6</v>
      </c>
      <c r="C49" s="14"/>
      <c r="D49" s="101">
        <v>80</v>
      </c>
      <c r="E49" s="8"/>
    </row>
    <row r="50" spans="1:5">
      <c r="A50" s="8" t="s">
        <v>303</v>
      </c>
      <c r="B50" s="101"/>
      <c r="C50" s="14"/>
      <c r="D50" s="101">
        <v>0</v>
      </c>
      <c r="E50" s="8"/>
    </row>
    <row r="51" spans="1:5">
      <c r="A51" s="8" t="s">
        <v>304</v>
      </c>
      <c r="B51" s="101"/>
      <c r="C51" s="14"/>
      <c r="D51" s="101">
        <v>0</v>
      </c>
      <c r="E51" s="8"/>
    </row>
    <row r="52" spans="1:5">
      <c r="A52" s="8" t="s">
        <v>305</v>
      </c>
      <c r="B52" s="101"/>
      <c r="C52" s="14"/>
      <c r="D52" s="101">
        <v>20</v>
      </c>
      <c r="E52" s="8"/>
    </row>
    <row r="53" spans="1:5">
      <c r="A53" s="8" t="s">
        <v>306</v>
      </c>
      <c r="B53" s="101"/>
      <c r="C53" s="14"/>
      <c r="D53" s="101">
        <v>64</v>
      </c>
      <c r="E53" s="8"/>
    </row>
    <row r="54" spans="1:5">
      <c r="A54" s="8" t="s">
        <v>307</v>
      </c>
      <c r="B54" s="101"/>
      <c r="C54" s="14"/>
      <c r="D54" s="101">
        <v>24</v>
      </c>
      <c r="E54" s="8" t="s">
        <v>289</v>
      </c>
    </row>
    <row r="55" spans="1:5">
      <c r="A55" s="8" t="s">
        <v>308</v>
      </c>
      <c r="B55" s="101"/>
      <c r="C55" s="14"/>
      <c r="D55" s="101">
        <v>100</v>
      </c>
      <c r="E55" s="8"/>
    </row>
    <row r="56" spans="1:5">
      <c r="A56" s="8" t="s">
        <v>309</v>
      </c>
      <c r="B56" s="101"/>
      <c r="C56" s="14"/>
      <c r="D56" s="101">
        <v>16</v>
      </c>
      <c r="E56" s="8"/>
    </row>
    <row r="57" spans="1:5">
      <c r="A57" s="8" t="s">
        <v>310</v>
      </c>
      <c r="B57" s="101"/>
      <c r="C57" s="14"/>
      <c r="D57" s="101">
        <v>16</v>
      </c>
      <c r="E57" s="8"/>
    </row>
    <row r="58" spans="1:5" ht="14.65" thickBot="1">
      <c r="A58" s="8"/>
      <c r="B58" s="101"/>
      <c r="C58" s="14"/>
      <c r="D58" s="101"/>
      <c r="E58" s="8"/>
    </row>
    <row r="59" spans="1:5" ht="15" thickTop="1" thickBot="1">
      <c r="A59" s="157" t="s">
        <v>154</v>
      </c>
      <c r="B59" s="101"/>
      <c r="C59" s="14"/>
      <c r="D59" s="101"/>
      <c r="E59" s="8"/>
    </row>
    <row r="60" spans="1:5" ht="14.65" thickTop="1">
      <c r="A60" s="8"/>
      <c r="B60" s="101"/>
      <c r="C60" s="14"/>
      <c r="D60" s="101"/>
      <c r="E60" s="8"/>
    </row>
    <row r="61" spans="1:5">
      <c r="A61" s="8" t="s">
        <v>311</v>
      </c>
      <c r="B61" s="101"/>
      <c r="C61" s="14"/>
      <c r="D61" s="200">
        <v>0.1</v>
      </c>
      <c r="E61" s="8" t="s">
        <v>312</v>
      </c>
    </row>
    <row r="62" spans="1:5">
      <c r="A62" s="8" t="s">
        <v>178</v>
      </c>
      <c r="B62" s="101"/>
      <c r="C62" s="14"/>
      <c r="D62" s="101">
        <v>1</v>
      </c>
      <c r="E62" s="8" t="s">
        <v>313</v>
      </c>
    </row>
    <row r="63" spans="1:5">
      <c r="A63" s="8"/>
      <c r="B63" s="101"/>
      <c r="C63" s="14"/>
      <c r="D63" s="101">
        <v>0</v>
      </c>
      <c r="E63" s="8" t="s">
        <v>6</v>
      </c>
    </row>
    <row r="64" spans="1:5">
      <c r="A64" s="8"/>
      <c r="B64" s="101"/>
      <c r="C64" s="14"/>
      <c r="D64" s="101">
        <v>0</v>
      </c>
      <c r="E64" s="8" t="s">
        <v>6</v>
      </c>
    </row>
    <row r="65" spans="1:5">
      <c r="A65" s="8"/>
      <c r="B65" s="101"/>
      <c r="C65" s="14"/>
      <c r="D65" s="101">
        <v>0</v>
      </c>
      <c r="E65" s="8"/>
    </row>
    <row r="66" spans="1:5">
      <c r="A66" s="8"/>
      <c r="B66" s="101"/>
      <c r="C66" s="14"/>
      <c r="D66" s="101">
        <v>0</v>
      </c>
      <c r="E66" s="8"/>
    </row>
    <row r="67" spans="1:5" ht="14.65" thickBot="1">
      <c r="A67" s="8"/>
      <c r="B67" s="101"/>
      <c r="C67" s="14"/>
      <c r="D67" s="101"/>
      <c r="E67" s="8"/>
    </row>
    <row r="68" spans="1:5" ht="15" thickTop="1" thickBot="1">
      <c r="A68" s="157" t="s">
        <v>144</v>
      </c>
      <c r="B68" s="101"/>
      <c r="C68" s="14"/>
      <c r="D68" s="101"/>
      <c r="E68" s="8"/>
    </row>
    <row r="69" spans="1:5" ht="14.65" thickTop="1">
      <c r="A69" s="8" t="s">
        <v>314</v>
      </c>
      <c r="B69" s="101"/>
      <c r="C69" s="14"/>
      <c r="D69" s="101">
        <v>10</v>
      </c>
      <c r="E69" s="8"/>
    </row>
    <row r="70" spans="1:5">
      <c r="A70" s="8"/>
      <c r="B70" s="101"/>
      <c r="C70" s="14"/>
      <c r="D70" s="101"/>
      <c r="E70" s="8"/>
    </row>
    <row r="71" spans="1:5">
      <c r="A71" s="8"/>
      <c r="B71" s="101"/>
      <c r="C71" s="14"/>
      <c r="D71" s="101"/>
      <c r="E71" s="8"/>
    </row>
    <row r="72" spans="1:5">
      <c r="A72" s="8"/>
      <c r="B72" s="101"/>
      <c r="C72" s="14"/>
      <c r="D72" s="101"/>
      <c r="E72" s="8"/>
    </row>
    <row r="73" spans="1:5">
      <c r="A73" s="8"/>
      <c r="B73" s="101"/>
      <c r="C73" s="14"/>
      <c r="D73" s="101"/>
      <c r="E73" s="8"/>
    </row>
    <row r="74" spans="1:5">
      <c r="A74" s="8"/>
      <c r="B74" s="101"/>
      <c r="C74" s="14"/>
      <c r="D74" s="101"/>
      <c r="E74" s="8"/>
    </row>
    <row r="75" spans="1:5">
      <c r="A75" s="8"/>
      <c r="B75" s="101"/>
      <c r="C75" s="14"/>
      <c r="D75" s="101"/>
      <c r="E75" s="8"/>
    </row>
    <row r="76" spans="1:5">
      <c r="A76" s="8"/>
      <c r="B76" s="101"/>
      <c r="C76" s="14"/>
      <c r="D76" s="101"/>
      <c r="E76" s="8"/>
    </row>
    <row r="77" spans="1:5">
      <c r="A77" s="8"/>
      <c r="B77" s="101"/>
      <c r="C77" s="14"/>
      <c r="D77" s="101"/>
      <c r="E77" s="8"/>
    </row>
    <row r="78" spans="1:5">
      <c r="A78" s="8"/>
      <c r="B78" s="101"/>
      <c r="C78" s="14"/>
      <c r="D78" s="101"/>
      <c r="E78" s="8"/>
    </row>
    <row r="79" spans="1:5">
      <c r="A79" s="8"/>
      <c r="B79" s="101"/>
      <c r="C79" s="14"/>
      <c r="D79" s="101"/>
      <c r="E79" s="8"/>
    </row>
    <row r="80" spans="1:5">
      <c r="A80" s="8"/>
      <c r="B80" s="101"/>
      <c r="C80" s="14"/>
      <c r="D80" s="101"/>
      <c r="E80" s="8"/>
    </row>
    <row r="81" spans="1:5">
      <c r="A81" s="8"/>
      <c r="B81" s="101"/>
      <c r="C81" s="14"/>
      <c r="D81" s="101"/>
      <c r="E81" s="8"/>
    </row>
    <row r="82" spans="1:5">
      <c r="A82" s="8"/>
      <c r="B82" s="101"/>
      <c r="C82" s="14"/>
      <c r="D82" s="101"/>
      <c r="E82" s="8"/>
    </row>
    <row r="83" spans="1:5">
      <c r="A83" s="8"/>
      <c r="B83" s="101"/>
      <c r="C83" s="14"/>
      <c r="D83" s="101"/>
      <c r="E83" s="8"/>
    </row>
    <row r="84" spans="1:5">
      <c r="A84" s="8"/>
      <c r="B84" s="101"/>
      <c r="C84" s="14"/>
      <c r="D84" s="101"/>
      <c r="E84" s="8"/>
    </row>
    <row r="85" spans="1:5">
      <c r="A85" s="8"/>
      <c r="B85" s="101"/>
      <c r="C85" s="14"/>
      <c r="D85" s="101"/>
      <c r="E85" s="8"/>
    </row>
    <row r="86" spans="1:5">
      <c r="A86" s="8"/>
      <c r="B86" s="101"/>
      <c r="C86" s="14"/>
      <c r="D86" s="101"/>
      <c r="E86" s="8"/>
    </row>
    <row r="87" spans="1:5">
      <c r="A87" s="8"/>
      <c r="B87" s="101"/>
      <c r="C87" s="14"/>
      <c r="D87" s="101"/>
      <c r="E87" s="8"/>
    </row>
    <row r="88" spans="1:5">
      <c r="A88" s="8"/>
      <c r="B88" s="101"/>
      <c r="C88" s="14"/>
      <c r="D88" s="101"/>
      <c r="E88" s="8"/>
    </row>
    <row r="89" spans="1:5">
      <c r="A89" s="8"/>
      <c r="B89" s="101"/>
      <c r="C89" s="14"/>
      <c r="D89" s="101"/>
      <c r="E89" s="8"/>
    </row>
    <row r="90" spans="1:5">
      <c r="A90" s="8"/>
      <c r="B90" s="101"/>
      <c r="C90" s="14"/>
      <c r="D90" s="101"/>
      <c r="E90" s="8"/>
    </row>
    <row r="91" spans="1:5">
      <c r="A91" s="8"/>
      <c r="B91" s="101"/>
      <c r="C91" s="14"/>
      <c r="D91" s="101"/>
      <c r="E91" s="8"/>
    </row>
    <row r="92" spans="1:5">
      <c r="A92" s="8"/>
      <c r="B92" s="101"/>
      <c r="C92" s="14"/>
      <c r="D92" s="101"/>
      <c r="E92" s="8"/>
    </row>
    <row r="93" spans="1:5">
      <c r="A93" s="8"/>
      <c r="B93" s="101"/>
      <c r="C93" s="14"/>
      <c r="D93" s="101"/>
      <c r="E93" s="8"/>
    </row>
    <row r="94" spans="1:5">
      <c r="A94" s="8"/>
      <c r="B94" s="101"/>
      <c r="C94" s="14"/>
      <c r="D94" s="101"/>
      <c r="E94" s="8"/>
    </row>
    <row r="95" spans="1:5">
      <c r="A95" s="8"/>
      <c r="B95" s="101"/>
      <c r="C95" s="14"/>
      <c r="D95" s="101"/>
      <c r="E95" s="8"/>
    </row>
    <row r="96" spans="1:5">
      <c r="A96" s="8"/>
      <c r="B96" s="101"/>
      <c r="C96" s="14"/>
      <c r="D96" s="101"/>
      <c r="E96" s="8"/>
    </row>
    <row r="97" spans="1:5">
      <c r="A97" s="8"/>
      <c r="B97" s="101"/>
      <c r="C97" s="14"/>
      <c r="D97" s="101"/>
      <c r="E97" s="8"/>
    </row>
    <row r="98" spans="1:5">
      <c r="A98" s="8"/>
      <c r="B98" s="101"/>
      <c r="C98" s="14"/>
      <c r="D98" s="101"/>
      <c r="E98" s="8"/>
    </row>
    <row r="99" spans="1:5">
      <c r="A99" s="8"/>
      <c r="B99" s="101"/>
      <c r="C99" s="14"/>
      <c r="D99" s="101"/>
      <c r="E99" s="8"/>
    </row>
    <row r="100" spans="1:5">
      <c r="A100" s="8"/>
      <c r="B100" s="101"/>
      <c r="C100" s="14"/>
      <c r="D100" s="101"/>
      <c r="E100" s="8"/>
    </row>
    <row r="101" spans="1:5">
      <c r="A101" s="8"/>
      <c r="B101" s="101"/>
      <c r="C101" s="14"/>
      <c r="D101" s="101"/>
      <c r="E101" s="8"/>
    </row>
    <row r="102" spans="1:5">
      <c r="A102" s="8"/>
      <c r="B102" s="101"/>
      <c r="C102" s="14"/>
      <c r="D102" s="101"/>
      <c r="E102" s="8"/>
    </row>
    <row r="103" spans="1:5">
      <c r="A103" s="8"/>
      <c r="B103" s="101"/>
      <c r="C103" s="14"/>
      <c r="D103" s="101"/>
      <c r="E103" s="8"/>
    </row>
    <row r="104" spans="1:5">
      <c r="A104" s="8"/>
      <c r="B104" s="101"/>
      <c r="C104" s="14"/>
      <c r="D104" s="101"/>
      <c r="E104" s="8"/>
    </row>
    <row r="105" spans="1:5">
      <c r="A105" s="8"/>
      <c r="B105" s="101"/>
      <c r="C105" s="14"/>
      <c r="D105" s="101"/>
      <c r="E105" s="8"/>
    </row>
    <row r="106" spans="1:5">
      <c r="A106" s="8"/>
      <c r="B106" s="101"/>
      <c r="C106" s="14"/>
      <c r="D106" s="101"/>
      <c r="E106" s="8"/>
    </row>
    <row r="107" spans="1:5">
      <c r="A107" s="8"/>
      <c r="B107" s="101"/>
      <c r="C107" s="14"/>
      <c r="D107" s="101"/>
      <c r="E107" s="8"/>
    </row>
    <row r="108" spans="1:5">
      <c r="A108" s="8"/>
      <c r="B108" s="101"/>
      <c r="C108" s="14"/>
      <c r="D108" s="101"/>
      <c r="E108" s="8"/>
    </row>
    <row r="109" spans="1:5">
      <c r="A109" s="8"/>
      <c r="B109" s="101"/>
      <c r="C109" s="14"/>
      <c r="D109" s="101"/>
      <c r="E109" s="8"/>
    </row>
    <row r="110" spans="1:5">
      <c r="A110" s="8"/>
      <c r="B110" s="101"/>
      <c r="C110" s="14"/>
      <c r="D110" s="101"/>
      <c r="E110" s="8"/>
    </row>
    <row r="111" spans="1:5">
      <c r="A111" s="8"/>
      <c r="B111" s="101"/>
      <c r="C111" s="14"/>
      <c r="D111" s="101"/>
      <c r="E111" s="8"/>
    </row>
    <row r="112" spans="1:5">
      <c r="A112" s="8"/>
      <c r="B112" s="101"/>
      <c r="C112" s="14"/>
      <c r="D112" s="101"/>
      <c r="E112" s="8"/>
    </row>
    <row r="113" spans="1:5">
      <c r="A113" s="8"/>
      <c r="B113" s="101"/>
      <c r="C113" s="14"/>
      <c r="D113" s="101"/>
      <c r="E113" s="8"/>
    </row>
    <row r="114" spans="1:5">
      <c r="A114" s="8"/>
      <c r="B114" s="101"/>
      <c r="C114" s="14"/>
      <c r="D114" s="101"/>
      <c r="E114" s="8"/>
    </row>
    <row r="115" spans="1:5">
      <c r="A115" s="8"/>
      <c r="B115" s="101"/>
      <c r="C115" s="14"/>
      <c r="D115" s="101"/>
      <c r="E115" s="8"/>
    </row>
    <row r="116" spans="1:5">
      <c r="A116" s="8"/>
      <c r="B116" s="101"/>
      <c r="C116" s="14"/>
      <c r="D116" s="101"/>
      <c r="E116" s="8"/>
    </row>
    <row r="117" spans="1:5">
      <c r="A117" s="8"/>
      <c r="B117" s="101"/>
      <c r="C117" s="14"/>
      <c r="D117" s="101"/>
      <c r="E117" s="8"/>
    </row>
    <row r="118" spans="1:5">
      <c r="A118" s="8"/>
      <c r="B118" s="101"/>
      <c r="C118" s="14"/>
      <c r="D118" s="101"/>
      <c r="E118" s="8"/>
    </row>
    <row r="119" spans="1:5">
      <c r="A119" s="8"/>
      <c r="B119" s="101"/>
      <c r="C119" s="14"/>
      <c r="D119" s="101"/>
      <c r="E119" s="8"/>
    </row>
    <row r="120" spans="1:5">
      <c r="A120" s="8"/>
      <c r="B120" s="101"/>
      <c r="C120" s="14"/>
      <c r="D120" s="101"/>
      <c r="E120" s="8"/>
    </row>
    <row r="121" spans="1:5">
      <c r="A121" s="8"/>
      <c r="B121" s="101"/>
      <c r="C121" s="14"/>
      <c r="D121" s="101"/>
      <c r="E121" s="8"/>
    </row>
    <row r="122" spans="1:5">
      <c r="A122" s="8"/>
      <c r="B122" s="101"/>
      <c r="C122" s="14"/>
      <c r="D122" s="101"/>
      <c r="E122" s="8"/>
    </row>
    <row r="123" spans="1:5">
      <c r="A123" s="8"/>
      <c r="B123" s="101"/>
      <c r="C123" s="14"/>
      <c r="D123" s="101"/>
      <c r="E123" s="8"/>
    </row>
    <row r="124" spans="1:5">
      <c r="A124" s="8"/>
      <c r="B124" s="101"/>
      <c r="C124" s="14"/>
      <c r="D124" s="101"/>
      <c r="E124" s="8"/>
    </row>
    <row r="125" spans="1:5">
      <c r="A125" s="8"/>
      <c r="B125" s="101"/>
      <c r="C125" s="14"/>
      <c r="D125" s="101"/>
      <c r="E125" s="8"/>
    </row>
    <row r="126" spans="1:5">
      <c r="A126" s="8"/>
      <c r="B126" s="101"/>
      <c r="C126" s="14"/>
      <c r="D126" s="101"/>
      <c r="E126" s="8"/>
    </row>
    <row r="127" spans="1:5">
      <c r="A127" s="8"/>
      <c r="B127" s="101"/>
      <c r="C127" s="14"/>
      <c r="D127" s="101"/>
      <c r="E127" s="8"/>
    </row>
    <row r="128" spans="1:5">
      <c r="A128" s="8"/>
      <c r="B128" s="101"/>
      <c r="C128" s="14"/>
      <c r="D128" s="101"/>
      <c r="E128" s="8"/>
    </row>
    <row r="129" spans="1:5">
      <c r="A129" s="8"/>
      <c r="B129" s="101"/>
      <c r="C129" s="14"/>
      <c r="D129" s="101"/>
      <c r="E129" s="8"/>
    </row>
    <row r="130" spans="1:5">
      <c r="A130" s="8"/>
      <c r="B130" s="101"/>
      <c r="C130" s="14"/>
      <c r="D130" s="101"/>
      <c r="E130" s="8"/>
    </row>
    <row r="131" spans="1:5">
      <c r="A131" s="8"/>
      <c r="B131" s="101"/>
      <c r="C131" s="14"/>
      <c r="D131" s="101"/>
      <c r="E131" s="8"/>
    </row>
    <row r="132" spans="1:5">
      <c r="A132" s="8"/>
      <c r="B132" s="101"/>
      <c r="C132" s="14"/>
      <c r="D132" s="101"/>
      <c r="E132" s="8"/>
    </row>
    <row r="133" spans="1:5">
      <c r="A133" s="8"/>
      <c r="B133" s="101"/>
      <c r="C133" s="14"/>
      <c r="D133" s="101"/>
      <c r="E133" s="8"/>
    </row>
    <row r="134" spans="1:5">
      <c r="A134" s="8"/>
      <c r="B134" s="101"/>
      <c r="C134" s="14"/>
      <c r="D134" s="101"/>
      <c r="E134" s="8"/>
    </row>
    <row r="135" spans="1:5">
      <c r="A135" s="8"/>
      <c r="B135" s="101"/>
      <c r="C135" s="14"/>
      <c r="D135" s="101"/>
      <c r="E135" s="8"/>
    </row>
    <row r="136" spans="1:5">
      <c r="A136" s="8"/>
      <c r="B136" s="101"/>
      <c r="C136" s="14"/>
      <c r="D136" s="101"/>
      <c r="E136" s="8"/>
    </row>
    <row r="137" spans="1:5">
      <c r="A137" s="8"/>
      <c r="B137" s="101"/>
      <c r="C137" s="14"/>
      <c r="D137" s="101"/>
      <c r="E137" s="8"/>
    </row>
    <row r="138" spans="1:5">
      <c r="A138" s="8"/>
      <c r="B138" s="101"/>
      <c r="C138" s="14"/>
      <c r="D138" s="101"/>
      <c r="E138" s="8"/>
    </row>
  </sheetData>
  <mergeCells count="1">
    <mergeCell ref="A1:E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8B48-E335-4A3B-ACA6-8ADDAA4668D4}">
  <dimension ref="A1:F48"/>
  <sheetViews>
    <sheetView workbookViewId="0">
      <selection sqref="A1:F1"/>
    </sheetView>
  </sheetViews>
  <sheetFormatPr defaultColWidth="8.7109375" defaultRowHeight="14.45"/>
  <cols>
    <col min="1" max="1" width="45.42578125" customWidth="1"/>
    <col min="2" max="2" width="14.140625" style="102" customWidth="1"/>
    <col min="3" max="4" width="14.140625" style="13" customWidth="1"/>
    <col min="5" max="5" width="14.28515625" style="13" customWidth="1"/>
    <col min="6" max="6" width="59.42578125" customWidth="1"/>
  </cols>
  <sheetData>
    <row r="1" spans="1:6" ht="15" customHeight="1" thickTop="1" thickBot="1">
      <c r="A1" s="357" t="str">
        <f>"Variables Services/Travel - "&amp;Parameters!G3</f>
        <v>Variables Services/Travel - TELLER CLIENT, STATE</v>
      </c>
      <c r="B1" s="358"/>
      <c r="C1" s="359"/>
      <c r="D1" s="361"/>
      <c r="E1" s="361"/>
      <c r="F1" s="360"/>
    </row>
    <row r="2" spans="1:6" ht="15" customHeight="1" thickTop="1" thickBot="1">
      <c r="A2" s="124" t="s">
        <v>283</v>
      </c>
      <c r="B2" s="127" t="s">
        <v>243</v>
      </c>
      <c r="C2" s="98" t="s">
        <v>244</v>
      </c>
      <c r="D2" s="98"/>
      <c r="E2" s="98" t="s">
        <v>146</v>
      </c>
      <c r="F2" s="97" t="s">
        <v>2</v>
      </c>
    </row>
    <row r="3" spans="1:6" ht="15" customHeight="1" thickTop="1">
      <c r="A3" s="34" t="s">
        <v>284</v>
      </c>
      <c r="B3" s="104">
        <v>1</v>
      </c>
      <c r="C3" s="15">
        <f>'Variables-Services'!$C3</f>
        <v>230</v>
      </c>
      <c r="D3" s="15"/>
      <c r="E3" s="15" t="s">
        <v>6</v>
      </c>
      <c r="F3" s="35" t="s">
        <v>6</v>
      </c>
    </row>
    <row r="4" spans="1:6" ht="15" customHeight="1">
      <c r="A4" s="32" t="s">
        <v>285</v>
      </c>
      <c r="B4" s="16">
        <v>1</v>
      </c>
      <c r="C4" s="15">
        <f>'Variables-Services'!$C3</f>
        <v>230</v>
      </c>
      <c r="D4" s="14"/>
      <c r="E4" s="14" t="s">
        <v>6</v>
      </c>
      <c r="F4" s="33" t="s">
        <v>6</v>
      </c>
    </row>
    <row r="5" spans="1:6" ht="15" customHeight="1">
      <c r="A5" s="32" t="s">
        <v>315</v>
      </c>
      <c r="B5" s="16">
        <v>1</v>
      </c>
      <c r="C5" s="14">
        <f>E5*C3</f>
        <v>920</v>
      </c>
      <c r="D5" s="14"/>
      <c r="E5" s="16">
        <v>4</v>
      </c>
      <c r="F5" s="33" t="s">
        <v>6</v>
      </c>
    </row>
    <row r="6" spans="1:6" ht="15" customHeight="1">
      <c r="A6" s="32" t="s">
        <v>6</v>
      </c>
      <c r="B6" s="16">
        <v>1</v>
      </c>
      <c r="C6" s="14" t="s">
        <v>6</v>
      </c>
      <c r="D6" s="14"/>
      <c r="E6" s="103" t="s">
        <v>6</v>
      </c>
      <c r="F6" s="33" t="s">
        <v>6</v>
      </c>
    </row>
    <row r="7" spans="1:6" ht="15" customHeight="1">
      <c r="A7" s="32" t="s">
        <v>6</v>
      </c>
      <c r="B7" s="16">
        <v>1</v>
      </c>
      <c r="C7" s="14" t="s">
        <v>6</v>
      </c>
      <c r="D7" s="14"/>
      <c r="E7" s="103" t="s">
        <v>6</v>
      </c>
      <c r="F7" s="33" t="s">
        <v>6</v>
      </c>
    </row>
    <row r="8" spans="1:6" ht="15" customHeight="1" thickBot="1">
      <c r="A8" s="126"/>
      <c r="B8" s="16" t="s">
        <v>6</v>
      </c>
      <c r="C8" s="14" t="s">
        <v>6</v>
      </c>
      <c r="D8" s="14"/>
      <c r="E8" s="14" t="s">
        <v>6</v>
      </c>
      <c r="F8" s="33" t="s">
        <v>6</v>
      </c>
    </row>
    <row r="9" spans="1:6" ht="15" customHeight="1" thickTop="1" thickBot="1">
      <c r="A9" s="124" t="s">
        <v>316</v>
      </c>
      <c r="B9" s="125"/>
      <c r="C9" s="105"/>
      <c r="D9" s="105"/>
      <c r="E9" s="105"/>
      <c r="F9" s="106"/>
    </row>
    <row r="10" spans="1:6" ht="15" customHeight="1" thickTop="1" thickBot="1">
      <c r="A10" s="133" t="s">
        <v>317</v>
      </c>
      <c r="B10" s="132" t="s">
        <v>6</v>
      </c>
      <c r="C10" s="109" t="s">
        <v>6</v>
      </c>
      <c r="D10" s="109"/>
      <c r="E10" s="109" t="s">
        <v>6</v>
      </c>
      <c r="F10" s="110" t="s">
        <v>318</v>
      </c>
    </row>
    <row r="11" spans="1:6" ht="15" customHeight="1" thickTop="1" thickBot="1">
      <c r="A11" s="17" t="s">
        <v>319</v>
      </c>
      <c r="B11" s="108">
        <v>1</v>
      </c>
      <c r="C11" s="109">
        <v>750</v>
      </c>
      <c r="D11" s="109"/>
      <c r="E11" s="109" t="s">
        <v>6</v>
      </c>
      <c r="F11" s="110" t="s">
        <v>320</v>
      </c>
    </row>
    <row r="12" spans="1:6" ht="15" customHeight="1" thickBot="1">
      <c r="A12" s="17" t="s">
        <v>321</v>
      </c>
      <c r="B12" s="16">
        <v>2</v>
      </c>
      <c r="C12" s="14">
        <v>850</v>
      </c>
      <c r="D12" s="14"/>
      <c r="E12" s="14" t="s">
        <v>6</v>
      </c>
      <c r="F12" s="110" t="s">
        <v>322</v>
      </c>
    </row>
    <row r="13" spans="1:6" ht="15" customHeight="1">
      <c r="A13" s="17" t="s">
        <v>323</v>
      </c>
      <c r="B13" s="16">
        <v>3</v>
      </c>
      <c r="C13" s="14">
        <v>950</v>
      </c>
      <c r="D13" s="14"/>
      <c r="E13" s="14" t="s">
        <v>6</v>
      </c>
      <c r="F13" s="110" t="s">
        <v>324</v>
      </c>
    </row>
    <row r="14" spans="1:6" ht="15" customHeight="1">
      <c r="A14" s="17" t="s">
        <v>325</v>
      </c>
      <c r="B14" s="16">
        <v>4</v>
      </c>
      <c r="C14" s="14">
        <v>1050</v>
      </c>
      <c r="D14" s="14"/>
      <c r="E14" s="14" t="s">
        <v>6</v>
      </c>
      <c r="F14" s="33" t="s">
        <v>326</v>
      </c>
    </row>
    <row r="15" spans="1:6" ht="15" customHeight="1">
      <c r="A15" s="115" t="s">
        <v>327</v>
      </c>
      <c r="B15" s="16">
        <f>Parameters!B9</f>
        <v>2</v>
      </c>
      <c r="C15" s="14">
        <f>IF(B15=1,C11,IF(B15=2,C12,IF(B15=3,C13,IF(B15=4,C14,0))))</f>
        <v>850</v>
      </c>
      <c r="D15" s="14"/>
      <c r="E15" s="14"/>
      <c r="F15" s="33"/>
    </row>
    <row r="16" spans="1:6" ht="15" customHeight="1" thickBot="1">
      <c r="A16" s="129"/>
      <c r="B16" s="16" t="s">
        <v>6</v>
      </c>
      <c r="C16" s="14" t="s">
        <v>6</v>
      </c>
      <c r="D16" s="14"/>
      <c r="E16" s="14" t="s">
        <v>6</v>
      </c>
      <c r="F16" s="33"/>
    </row>
    <row r="17" spans="1:6" ht="15" customHeight="1" thickTop="1" thickBot="1">
      <c r="A17" s="133" t="s">
        <v>215</v>
      </c>
      <c r="B17" s="134" t="s">
        <v>6</v>
      </c>
      <c r="C17" s="14" t="s">
        <v>6</v>
      </c>
      <c r="D17" s="14"/>
      <c r="E17" s="14" t="s">
        <v>6</v>
      </c>
      <c r="F17" s="33"/>
    </row>
    <row r="18" spans="1:6" ht="15" customHeight="1" thickTop="1">
      <c r="A18" s="17" t="s">
        <v>328</v>
      </c>
      <c r="B18" s="16">
        <v>1</v>
      </c>
      <c r="C18" s="14">
        <v>180</v>
      </c>
      <c r="D18" s="14"/>
      <c r="E18" s="14" t="s">
        <v>6</v>
      </c>
      <c r="F18" s="33"/>
    </row>
    <row r="19" spans="1:6" ht="15" customHeight="1">
      <c r="A19" s="8" t="s">
        <v>329</v>
      </c>
      <c r="B19" s="16">
        <v>1</v>
      </c>
      <c r="C19" s="14">
        <v>60</v>
      </c>
      <c r="D19" s="14"/>
      <c r="E19" s="14" t="s">
        <v>6</v>
      </c>
      <c r="F19" s="33"/>
    </row>
    <row r="20" spans="1:6" ht="15" customHeight="1" thickBot="1">
      <c r="A20" s="8" t="s">
        <v>330</v>
      </c>
      <c r="B20" s="112">
        <v>1</v>
      </c>
      <c r="C20" s="113">
        <v>125</v>
      </c>
      <c r="D20" s="113"/>
      <c r="E20" s="113" t="s">
        <v>6</v>
      </c>
      <c r="F20" s="114"/>
    </row>
    <row r="21" spans="1:6" ht="15" customHeight="1" thickBot="1">
      <c r="A21" s="8" t="s">
        <v>331</v>
      </c>
      <c r="B21" s="112">
        <v>1</v>
      </c>
      <c r="C21" s="113">
        <v>25</v>
      </c>
      <c r="D21" s="113"/>
      <c r="E21" s="113" t="s">
        <v>6</v>
      </c>
      <c r="F21" s="114"/>
    </row>
    <row r="22" spans="1:6" ht="15" customHeight="1" thickBot="1">
      <c r="A22" s="115"/>
      <c r="B22" s="116"/>
      <c r="C22" s="117"/>
      <c r="D22" s="117"/>
      <c r="E22" s="117"/>
      <c r="F22" s="118"/>
    </row>
    <row r="23" spans="1:6" ht="15.6" customHeight="1" thickTop="1" thickBot="1">
      <c r="A23" s="124" t="s">
        <v>332</v>
      </c>
      <c r="B23" s="127" t="s">
        <v>333</v>
      </c>
      <c r="C23" s="98" t="s">
        <v>146</v>
      </c>
      <c r="D23" s="98" t="s">
        <v>334</v>
      </c>
      <c r="E23" s="98" t="s">
        <v>335</v>
      </c>
      <c r="F23" s="97" t="s">
        <v>2</v>
      </c>
    </row>
    <row r="24" spans="1:6" ht="15" customHeight="1" thickTop="1">
      <c r="A24" s="233" t="s">
        <v>336</v>
      </c>
      <c r="B24" s="104">
        <v>1</v>
      </c>
      <c r="C24" s="104">
        <v>16</v>
      </c>
      <c r="D24" s="104">
        <f>C24/8</f>
        <v>2</v>
      </c>
      <c r="E24" s="104">
        <v>2</v>
      </c>
      <c r="F24" s="35" t="s">
        <v>6</v>
      </c>
    </row>
    <row r="25" spans="1:6">
      <c r="A25" s="32" t="s">
        <v>6</v>
      </c>
      <c r="B25" s="16">
        <v>2</v>
      </c>
      <c r="C25" s="16">
        <v>24</v>
      </c>
      <c r="D25" s="104">
        <f>C25/8</f>
        <v>3</v>
      </c>
      <c r="E25" s="16">
        <v>2</v>
      </c>
      <c r="F25" s="33" t="s">
        <v>6</v>
      </c>
    </row>
    <row r="26" spans="1:6">
      <c r="A26" s="32" t="s">
        <v>6</v>
      </c>
      <c r="B26" s="16">
        <v>3</v>
      </c>
      <c r="C26" s="16">
        <v>32</v>
      </c>
      <c r="D26" s="104">
        <f>C26/8</f>
        <v>4</v>
      </c>
      <c r="E26" s="16">
        <v>2</v>
      </c>
      <c r="F26" s="33" t="s">
        <v>6</v>
      </c>
    </row>
    <row r="27" spans="1:6">
      <c r="A27" s="32" t="s">
        <v>337</v>
      </c>
      <c r="B27" s="16">
        <f>Parameters!$L8</f>
        <v>1</v>
      </c>
      <c r="C27" s="16">
        <f>IF($B$27=1,C24,IF($B$27=2,C25,IF($B$27=3,C26,0)))</f>
        <v>16</v>
      </c>
      <c r="D27" s="16">
        <f>IF($B$27=1,D24,IF($B$27=2,D25,IF($B$27=3,D26,0)))</f>
        <v>2</v>
      </c>
      <c r="E27" s="16">
        <f>IF($B$27=1,E24,IF($B$27=2,E25,IF($B$27=3,E26,0)))</f>
        <v>2</v>
      </c>
      <c r="F27" s="33"/>
    </row>
    <row r="28" spans="1:6" ht="15" customHeight="1">
      <c r="A28" s="233" t="s">
        <v>164</v>
      </c>
      <c r="B28" s="104">
        <v>1</v>
      </c>
      <c r="C28" s="104">
        <v>16</v>
      </c>
      <c r="D28" s="104">
        <f>C28/8</f>
        <v>2</v>
      </c>
      <c r="E28" s="104">
        <v>1</v>
      </c>
      <c r="F28" s="35" t="s">
        <v>6</v>
      </c>
    </row>
    <row r="29" spans="1:6">
      <c r="A29" s="32" t="s">
        <v>6</v>
      </c>
      <c r="B29" s="16">
        <v>2</v>
      </c>
      <c r="C29" s="16">
        <v>16</v>
      </c>
      <c r="D29" s="104">
        <f>C29/8</f>
        <v>2</v>
      </c>
      <c r="E29" s="16">
        <v>2</v>
      </c>
      <c r="F29" s="33" t="s">
        <v>6</v>
      </c>
    </row>
    <row r="30" spans="1:6">
      <c r="A30" s="32" t="s">
        <v>6</v>
      </c>
      <c r="B30" s="16">
        <v>3</v>
      </c>
      <c r="C30" s="16">
        <v>16</v>
      </c>
      <c r="D30" s="104">
        <v>3</v>
      </c>
      <c r="E30" s="16">
        <v>2</v>
      </c>
      <c r="F30" s="33" t="s">
        <v>6</v>
      </c>
    </row>
    <row r="31" spans="1:6">
      <c r="A31" s="32" t="s">
        <v>337</v>
      </c>
      <c r="B31" s="16">
        <f>Parameters!$L8</f>
        <v>1</v>
      </c>
      <c r="C31" s="16">
        <f>IF($B$27=1,C28,IF($B$27=2,C29,IF($B$27=3,C30,0)))</f>
        <v>16</v>
      </c>
      <c r="D31" s="16">
        <f>IF($B$27=1,D28,IF($B$27=2,D29,IF($B$27=3,D30,0)))</f>
        <v>2</v>
      </c>
      <c r="E31" s="16">
        <f>IF($B$27=1,E28,IF($B$27=2,E29,IF($B$27=3,E30,0)))</f>
        <v>1</v>
      </c>
      <c r="F31" s="33"/>
    </row>
    <row r="32" spans="1:6" ht="15" customHeight="1">
      <c r="A32" s="233" t="s">
        <v>338</v>
      </c>
      <c r="B32" s="104">
        <v>1</v>
      </c>
      <c r="C32" s="104">
        <v>16</v>
      </c>
      <c r="D32" s="104">
        <f>C32/8</f>
        <v>2</v>
      </c>
      <c r="E32" s="104">
        <v>2</v>
      </c>
      <c r="F32" s="35" t="s">
        <v>6</v>
      </c>
    </row>
    <row r="33" spans="1:6">
      <c r="A33" s="32" t="s">
        <v>6</v>
      </c>
      <c r="B33" s="16">
        <v>2</v>
      </c>
      <c r="C33" s="16">
        <v>24</v>
      </c>
      <c r="D33" s="104">
        <f>C33/8</f>
        <v>3</v>
      </c>
      <c r="E33" s="16">
        <v>2</v>
      </c>
      <c r="F33" s="33" t="s">
        <v>6</v>
      </c>
    </row>
    <row r="34" spans="1:6">
      <c r="A34" s="32" t="s">
        <v>6</v>
      </c>
      <c r="B34" s="16">
        <v>3</v>
      </c>
      <c r="C34" s="16">
        <v>32</v>
      </c>
      <c r="D34" s="104">
        <f>C34/8</f>
        <v>4</v>
      </c>
      <c r="E34" s="16">
        <v>2</v>
      </c>
      <c r="F34" s="33" t="s">
        <v>6</v>
      </c>
    </row>
    <row r="35" spans="1:6">
      <c r="A35" s="32" t="s">
        <v>337</v>
      </c>
      <c r="B35" s="16">
        <f>Parameters!$L8</f>
        <v>1</v>
      </c>
      <c r="C35" s="16">
        <f>IF($B$27=1,C32,IF($B$27=2,C33,IF($B$27=3,C34,0)))</f>
        <v>16</v>
      </c>
      <c r="D35" s="16">
        <f>IF($B$27=1,D32,IF($B$27=2,D33,IF($B$27=3,D34,0)))</f>
        <v>2</v>
      </c>
      <c r="E35" s="16">
        <f>IF($B$27=1,E32,IF($B$27=2,E33,IF($B$27=3,E34,0)))</f>
        <v>2</v>
      </c>
      <c r="F35" s="33"/>
    </row>
    <row r="36" spans="1:6" ht="15" customHeight="1">
      <c r="A36" s="234" t="s">
        <v>167</v>
      </c>
      <c r="B36" s="104">
        <v>1</v>
      </c>
      <c r="C36" s="104">
        <v>16</v>
      </c>
      <c r="D36" s="104">
        <f>C36/8</f>
        <v>2</v>
      </c>
      <c r="E36" s="104">
        <v>1</v>
      </c>
      <c r="F36" s="35" t="s">
        <v>6</v>
      </c>
    </row>
    <row r="37" spans="1:6">
      <c r="A37" s="32" t="s">
        <v>6</v>
      </c>
      <c r="B37" s="16">
        <v>2</v>
      </c>
      <c r="C37" s="16">
        <v>16</v>
      </c>
      <c r="D37" s="104">
        <f>C37/8</f>
        <v>2</v>
      </c>
      <c r="E37" s="16">
        <v>1</v>
      </c>
      <c r="F37" s="33" t="s">
        <v>6</v>
      </c>
    </row>
    <row r="38" spans="1:6">
      <c r="A38" s="32" t="s">
        <v>6</v>
      </c>
      <c r="B38" s="16">
        <v>3</v>
      </c>
      <c r="C38" s="16">
        <v>24</v>
      </c>
      <c r="D38" s="104">
        <f>C38/8</f>
        <v>3</v>
      </c>
      <c r="E38" s="16">
        <v>1</v>
      </c>
      <c r="F38" s="33" t="s">
        <v>6</v>
      </c>
    </row>
    <row r="39" spans="1:6">
      <c r="A39" s="32" t="s">
        <v>337</v>
      </c>
      <c r="B39" s="16">
        <f>Parameters!$L8</f>
        <v>1</v>
      </c>
      <c r="C39" s="16">
        <f>IF($B$27=1,C36,IF($B$27=2,C37,IF($B$27=3,C38,0)))</f>
        <v>16</v>
      </c>
      <c r="D39" s="16">
        <f>IF($B$27=1,D36,IF($B$27=2,D37,IF($B$27=3,D38,0)))</f>
        <v>2</v>
      </c>
      <c r="E39" s="16">
        <f>IF($B$27=1,E36,IF($B$27=2,E37,IF($B$27=3,E38,0)))</f>
        <v>1</v>
      </c>
      <c r="F39" s="33"/>
    </row>
    <row r="40" spans="1:6">
      <c r="A40" s="32"/>
      <c r="B40" s="16"/>
      <c r="C40" s="16"/>
      <c r="D40" s="104"/>
      <c r="E40" s="16"/>
      <c r="F40" s="33"/>
    </row>
    <row r="41" spans="1:6" ht="14.65" thickBot="1">
      <c r="A41" s="32" t="s">
        <v>339</v>
      </c>
      <c r="B41" s="16">
        <v>1</v>
      </c>
      <c r="C41" s="16" t="str">
        <f>A25</f>
        <v xml:space="preserve"> </v>
      </c>
      <c r="D41" s="16" t="s">
        <v>6</v>
      </c>
      <c r="E41" s="16" t="s">
        <v>6</v>
      </c>
      <c r="F41" s="33" t="s">
        <v>6</v>
      </c>
    </row>
    <row r="42" spans="1:6" ht="14.65" thickBot="1">
      <c r="A42" s="119" t="s">
        <v>340</v>
      </c>
      <c r="B42" s="120">
        <v>1</v>
      </c>
      <c r="C42" s="120">
        <f>SUM(C18:C22)</f>
        <v>390</v>
      </c>
      <c r="D42" s="120">
        <f>SUM(D18:D22)</f>
        <v>0</v>
      </c>
      <c r="E42" s="120">
        <f>SUM(E18:E22)</f>
        <v>0</v>
      </c>
      <c r="F42" s="122"/>
    </row>
    <row r="43" spans="1:6">
      <c r="A43" s="34" t="s">
        <v>336</v>
      </c>
      <c r="B43" s="104">
        <v>1</v>
      </c>
      <c r="C43" s="104">
        <v>180</v>
      </c>
      <c r="D43" s="104">
        <v>180</v>
      </c>
      <c r="E43" s="104">
        <v>180</v>
      </c>
      <c r="F43" s="35" t="s">
        <v>6</v>
      </c>
    </row>
    <row r="44" spans="1:6">
      <c r="A44" s="32" t="s">
        <v>285</v>
      </c>
      <c r="B44" s="16">
        <v>1</v>
      </c>
      <c r="C44" s="16">
        <v>180</v>
      </c>
      <c r="D44" s="16">
        <v>180</v>
      </c>
      <c r="E44" s="16">
        <v>180</v>
      </c>
      <c r="F44" s="33" t="s">
        <v>6</v>
      </c>
    </row>
    <row r="45" spans="1:6">
      <c r="A45" s="32" t="s">
        <v>315</v>
      </c>
      <c r="B45" s="16">
        <v>1</v>
      </c>
      <c r="C45" s="16">
        <v>600</v>
      </c>
      <c r="D45" s="16">
        <v>600</v>
      </c>
      <c r="E45" s="16">
        <v>600</v>
      </c>
      <c r="F45" s="33" t="s">
        <v>6</v>
      </c>
    </row>
    <row r="46" spans="1:6" ht="14.65" thickBot="1">
      <c r="A46" s="32" t="s">
        <v>339</v>
      </c>
      <c r="B46" s="16">
        <v>1</v>
      </c>
      <c r="C46" s="16" t="s">
        <v>6</v>
      </c>
      <c r="D46" s="16" t="s">
        <v>6</v>
      </c>
      <c r="E46" s="16" t="s">
        <v>6</v>
      </c>
      <c r="F46" s="33" t="s">
        <v>6</v>
      </c>
    </row>
    <row r="47" spans="1:6" ht="14.65" thickBot="1">
      <c r="A47" s="119" t="s">
        <v>340</v>
      </c>
      <c r="B47" s="120">
        <v>1</v>
      </c>
      <c r="C47" s="120">
        <f>SUM(C23:C41)</f>
        <v>312</v>
      </c>
      <c r="D47" s="120">
        <f>SUM(D23:D41)</f>
        <v>40</v>
      </c>
      <c r="E47" s="120">
        <f>SUM(E23:E41)</f>
        <v>26</v>
      </c>
      <c r="F47" s="122"/>
    </row>
    <row r="48" spans="1:6">
      <c r="A48" s="115"/>
      <c r="B48" s="116"/>
      <c r="C48" s="116"/>
      <c r="D48" s="116"/>
      <c r="E48" s="117"/>
      <c r="F48" s="118"/>
    </row>
  </sheetData>
  <mergeCells count="1">
    <mergeCell ref="A1:F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F85E-2DD1-4914-8D24-FC594DB406B6}">
  <dimension ref="A1:E22"/>
  <sheetViews>
    <sheetView workbookViewId="0">
      <selection sqref="A1:E1"/>
    </sheetView>
  </sheetViews>
  <sheetFormatPr defaultColWidth="8.7109375" defaultRowHeight="14.45"/>
  <cols>
    <col min="1" max="1" width="45.42578125" customWidth="1"/>
    <col min="2" max="2" width="14.140625" style="102" customWidth="1"/>
    <col min="3" max="3" width="14.140625" style="13" customWidth="1"/>
    <col min="4" max="4" width="14.28515625" style="13" customWidth="1"/>
    <col min="5" max="5" width="59.42578125" customWidth="1"/>
  </cols>
  <sheetData>
    <row r="1" spans="1:5" ht="15" customHeight="1" thickTop="1" thickBot="1">
      <c r="A1" s="357" t="str">
        <f>"Variables Optional - "&amp;Parameters!G3</f>
        <v>Variables Optional - TELLER CLIENT, STATE</v>
      </c>
      <c r="B1" s="358"/>
      <c r="C1" s="359"/>
      <c r="D1" s="361"/>
      <c r="E1" s="360"/>
    </row>
    <row r="2" spans="1:5" ht="15" customHeight="1" thickTop="1" thickBot="1">
      <c r="A2" s="124"/>
      <c r="B2" s="127"/>
      <c r="C2" s="98"/>
      <c r="D2" s="98"/>
      <c r="E2" s="97"/>
    </row>
    <row r="3" spans="1:5" ht="15" customHeight="1" thickTop="1">
      <c r="A3" s="34"/>
      <c r="B3" s="104"/>
      <c r="C3" s="15"/>
      <c r="D3" s="15"/>
      <c r="E3" s="35"/>
    </row>
    <row r="4" spans="1:5" ht="15" customHeight="1">
      <c r="A4" s="32" t="s">
        <v>341</v>
      </c>
      <c r="B4" s="16"/>
      <c r="C4" s="14"/>
      <c r="D4" s="14"/>
      <c r="E4" s="33"/>
    </row>
    <row r="5" spans="1:5" ht="15" customHeight="1">
      <c r="A5" s="32" t="s">
        <v>342</v>
      </c>
      <c r="B5" s="16"/>
      <c r="C5" s="14"/>
      <c r="D5" s="14"/>
      <c r="E5" s="33"/>
    </row>
    <row r="6" spans="1:5" ht="15" customHeight="1">
      <c r="A6" s="32"/>
      <c r="B6" s="16"/>
      <c r="C6" s="14"/>
      <c r="D6" s="103"/>
      <c r="E6" s="33"/>
    </row>
    <row r="7" spans="1:5" ht="15" customHeight="1" thickBot="1">
      <c r="A7" s="126"/>
      <c r="B7" s="16"/>
      <c r="C7" s="14"/>
      <c r="D7" s="14"/>
      <c r="E7" s="33"/>
    </row>
    <row r="8" spans="1:5" ht="15" customHeight="1" thickTop="1" thickBot="1">
      <c r="A8" s="124"/>
      <c r="B8" s="125"/>
      <c r="C8" s="105"/>
      <c r="D8" s="105"/>
      <c r="E8" s="106"/>
    </row>
    <row r="9" spans="1:5" ht="15" customHeight="1" thickTop="1" thickBot="1">
      <c r="A9" s="133"/>
      <c r="B9" s="132"/>
      <c r="C9" s="109"/>
      <c r="D9" s="109"/>
      <c r="E9" s="110"/>
    </row>
    <row r="10" spans="1:5" ht="15" customHeight="1" thickTop="1" thickBot="1">
      <c r="A10" s="17"/>
      <c r="B10" s="108"/>
      <c r="C10" s="109"/>
      <c r="D10" s="109"/>
      <c r="E10" s="110"/>
    </row>
    <row r="11" spans="1:5" ht="15" customHeight="1" thickBot="1">
      <c r="A11" s="17"/>
      <c r="B11" s="16"/>
      <c r="C11" s="14"/>
      <c r="D11" s="14"/>
      <c r="E11" s="110"/>
    </row>
    <row r="12" spans="1:5" ht="15" customHeight="1">
      <c r="A12" s="17"/>
      <c r="B12" s="16"/>
      <c r="C12" s="14"/>
      <c r="D12" s="14"/>
      <c r="E12" s="110"/>
    </row>
    <row r="13" spans="1:5" ht="15" customHeight="1">
      <c r="A13" s="17"/>
      <c r="B13" s="16"/>
      <c r="C13" s="14"/>
      <c r="D13" s="14"/>
      <c r="E13" s="33"/>
    </row>
    <row r="14" spans="1:5" ht="15" customHeight="1" thickBot="1">
      <c r="A14" s="129"/>
      <c r="B14" s="16"/>
      <c r="C14" s="14"/>
      <c r="D14" s="14"/>
      <c r="E14" s="33"/>
    </row>
    <row r="15" spans="1:5" ht="15" customHeight="1" thickTop="1" thickBot="1">
      <c r="A15" s="133"/>
      <c r="B15" s="134"/>
      <c r="C15" s="14"/>
      <c r="D15" s="14"/>
      <c r="E15" s="33"/>
    </row>
    <row r="16" spans="1:5" ht="15" customHeight="1" thickTop="1">
      <c r="A16" s="17"/>
      <c r="B16" s="16"/>
      <c r="C16" s="14"/>
      <c r="D16" s="14"/>
      <c r="E16" s="33"/>
    </row>
    <row r="17" spans="1:5" ht="15" customHeight="1">
      <c r="A17" s="8"/>
      <c r="B17" s="16"/>
      <c r="C17" s="14"/>
      <c r="D17" s="14"/>
      <c r="E17" s="33"/>
    </row>
    <row r="18" spans="1:5" ht="15" customHeight="1" thickBot="1">
      <c r="A18" s="8"/>
      <c r="B18" s="112"/>
      <c r="C18" s="113"/>
      <c r="D18" s="113"/>
      <c r="E18" s="114"/>
    </row>
    <row r="19" spans="1:5" ht="15" customHeight="1" thickBot="1">
      <c r="A19" s="8"/>
      <c r="B19" s="112"/>
      <c r="C19" s="113"/>
      <c r="D19" s="113"/>
      <c r="E19" s="114"/>
    </row>
    <row r="20" spans="1:5" ht="15" customHeight="1" thickBot="1">
      <c r="A20" s="115"/>
      <c r="B20" s="116"/>
      <c r="C20" s="117"/>
      <c r="D20" s="117"/>
      <c r="E20" s="118"/>
    </row>
    <row r="21" spans="1:5" ht="15.6" customHeight="1" thickBot="1">
      <c r="A21" s="119"/>
      <c r="B21" s="120"/>
      <c r="C21" s="121"/>
      <c r="D21" s="121"/>
      <c r="E21" s="122"/>
    </row>
    <row r="22" spans="1:5" ht="15" customHeight="1">
      <c r="A22" s="115"/>
      <c r="B22" s="116"/>
      <c r="C22" s="117"/>
      <c r="D22" s="117"/>
      <c r="E22" s="118"/>
    </row>
  </sheetData>
  <mergeCells count="1">
    <mergeCell ref="A1:E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AE57-3128-474E-9599-ECD9C493956D}">
  <dimension ref="A1:B57"/>
  <sheetViews>
    <sheetView workbookViewId="0"/>
  </sheetViews>
  <sheetFormatPr defaultColWidth="8.7109375" defaultRowHeight="14.45"/>
  <cols>
    <col min="1" max="1" width="75" customWidth="1"/>
    <col min="2" max="2" width="42.28515625" customWidth="1"/>
    <col min="3" max="3" width="15.28515625" customWidth="1"/>
    <col min="4" max="4" width="12.140625" customWidth="1"/>
  </cols>
  <sheetData>
    <row r="1" spans="1:2" ht="16.149999999999999" thickTop="1" thickBot="1">
      <c r="A1" s="90" t="s">
        <v>343</v>
      </c>
      <c r="B1" s="91" t="s">
        <v>344</v>
      </c>
    </row>
    <row r="2" spans="1:2" ht="14.65" thickTop="1">
      <c r="A2" s="96" t="s">
        <v>345</v>
      </c>
      <c r="B2" s="17"/>
    </row>
    <row r="3" spans="1:2" ht="28.9">
      <c r="A3" s="93" t="str">
        <f>+(5+Parameters!$E6)&amp;" users, including peripheral hardware. More or less users might be required as will be determined during discovery and analysis sessions."</f>
        <v>5 users, including peripheral hardware. More or less users might be required as will be determined during discovery and analysis sessions.</v>
      </c>
      <c r="B3" s="92"/>
    </row>
    <row r="4" spans="1:2">
      <c r="A4" s="93" t="str">
        <f>IF(Parameters_CheckRecognition_Active="Y", "Check Recognition/Scanning for up to annual scan volume of ","")&amp;Parameters!E13</f>
        <v>Check Recognition/Scanning for up to annual scan volume of 75000</v>
      </c>
      <c r="B4" s="92"/>
    </row>
    <row r="5" spans="1:2">
      <c r="A5" s="93" t="str">
        <f>IF(Parameters_ImageCashLetter_Active="Y", "Image Cash Letter (ICL) with - ","")&amp;Parameters!G15</f>
        <v>Image Cash Letter (ICL) with - ????</v>
      </c>
      <c r="B5" s="92"/>
    </row>
    <row r="6" spans="1:2">
      <c r="A6" s="93" t="str">
        <f>IF(Parameters_RevenueSubmission_Active="Y", "Revenue Submission for following number of departments/agencies - ","")&amp;Parameters!E16</f>
        <v>Revenue Submission for following number of departments/agencies - 15</v>
      </c>
      <c r="B6" s="92"/>
    </row>
    <row r="7" spans="1:2">
      <c r="A7" s="93" t="str">
        <f>IF(Parameters_TellerOnline_Active="Y", "Online Customer Portal for an application total equal - ","")&amp;Parameters!E18</f>
        <v>Online Customer Portal for an application total equal - 50000</v>
      </c>
      <c r="B7" s="92"/>
    </row>
    <row r="8" spans="1:2">
      <c r="A8" s="93" t="e">
        <f>IF(Parameters!#REF!="Y", "Online Workflow Document application total equal - ","")&amp;Parameters!#REF!</f>
        <v>#REF!</v>
      </c>
      <c r="B8" s="92"/>
    </row>
    <row r="9" spans="1:2">
      <c r="A9" s="83" t="s">
        <v>346</v>
      </c>
      <c r="B9" s="58"/>
    </row>
    <row r="10" spans="1:2">
      <c r="A10" s="93" t="str">
        <f>IF(Parameters!B22="Y", "Credit Processor - ","")&amp;Parameters!G22</f>
        <v>Credit Processor - ????</v>
      </c>
      <c r="B10" s="92"/>
    </row>
    <row r="11" spans="1:2">
      <c r="A11" s="93" t="str">
        <f>IF(Parameters!B23="Y", "Integration with Financial - ","")&amp;Parameters!G23</f>
        <v>Integration with Financial - ????</v>
      </c>
      <c r="B11" s="92"/>
    </row>
    <row r="12" spans="1:2">
      <c r="A12" s="93" t="str">
        <f>IF(Parameters!B24="Y", "Integration with Financial A/R - ","")&amp;Parameters!G24</f>
        <v>Integration with Financial A/R - ????</v>
      </c>
      <c r="B12" s="92"/>
    </row>
    <row r="13" spans="1:2">
      <c r="A13" s="93" t="str">
        <f>IF(Parameters!B25="Y", "Integration with - ","")&amp;Parameters!G25</f>
        <v>Integration with - ????</v>
      </c>
      <c r="B13" s="92"/>
    </row>
    <row r="14" spans="1:2">
      <c r="A14" s="93" t="str">
        <f>IF(Parameters!B26="Y", "Integration with - ","")&amp;Parameters!G26</f>
        <v>Integration with - ????</v>
      </c>
      <c r="B14" s="92"/>
    </row>
    <row r="15" spans="1:2">
      <c r="A15" s="93" t="str">
        <f>IF(Parameters!B27="Y", "Integration with - ","")&amp;Parameters!G27</f>
        <v>Test 3</v>
      </c>
      <c r="B15" s="92"/>
    </row>
    <row r="16" spans="1:2">
      <c r="A16" s="93" t="str">
        <f>IF(Parameters!B28="Y", "Integration with - ","")&amp;Parameters!G28</f>
        <v>Test 4</v>
      </c>
      <c r="B16" s="92"/>
    </row>
    <row r="17" spans="1:2">
      <c r="A17" s="93" t="str">
        <f>IF(Parameters!B34="Y", "Integration with - ","")&amp;Parameters!G34</f>
        <v>Test 10</v>
      </c>
      <c r="B17" s="92"/>
    </row>
    <row r="18" spans="1:2">
      <c r="A18" s="93" t="s">
        <v>6</v>
      </c>
      <c r="B18" s="92"/>
    </row>
    <row r="19" spans="1:2">
      <c r="A19" s="83" t="s">
        <v>346</v>
      </c>
      <c r="B19" s="92"/>
    </row>
    <row r="20" spans="1:2">
      <c r="A20" s="93" t="s">
        <v>347</v>
      </c>
      <c r="B20" s="92"/>
    </row>
    <row r="21" spans="1:2">
      <c r="A21" s="93" t="s">
        <v>348</v>
      </c>
      <c r="B21" s="92"/>
    </row>
    <row r="22" spans="1:2">
      <c r="A22" s="93" t="s">
        <v>349</v>
      </c>
      <c r="B22" s="92"/>
    </row>
    <row r="23" spans="1:2">
      <c r="A23" s="93" t="s">
        <v>350</v>
      </c>
      <c r="B23" s="92"/>
    </row>
    <row r="24" spans="1:2">
      <c r="A24" s="93" t="s">
        <v>351</v>
      </c>
      <c r="B24" s="92"/>
    </row>
    <row r="25" spans="1:2">
      <c r="A25" s="93" t="s">
        <v>352</v>
      </c>
      <c r="B25" s="92"/>
    </row>
    <row r="26" spans="1:2">
      <c r="A26" s="93" t="s">
        <v>353</v>
      </c>
      <c r="B26" s="92"/>
    </row>
    <row r="27" spans="1:2" ht="28.9">
      <c r="A27" s="93" t="s">
        <v>354</v>
      </c>
      <c r="B27" s="92"/>
    </row>
    <row r="28" spans="1:2">
      <c r="A28" s="93" t="s">
        <v>355</v>
      </c>
      <c r="B28" s="92"/>
    </row>
    <row r="29" spans="1:2">
      <c r="A29" s="93" t="s">
        <v>356</v>
      </c>
      <c r="B29" s="92"/>
    </row>
    <row r="30" spans="1:2">
      <c r="A30" s="93" t="s">
        <v>357</v>
      </c>
      <c r="B30" s="92"/>
    </row>
    <row r="31" spans="1:2">
      <c r="A31" s="93" t="s">
        <v>358</v>
      </c>
      <c r="B31" s="92"/>
    </row>
    <row r="32" spans="1:2" ht="28.9">
      <c r="A32" s="93" t="s">
        <v>359</v>
      </c>
      <c r="B32" s="92"/>
    </row>
    <row r="33" spans="1:2" ht="41.85" customHeight="1">
      <c r="A33" s="93" t="s">
        <v>360</v>
      </c>
      <c r="B33" s="92"/>
    </row>
    <row r="34" spans="1:2" ht="43.15">
      <c r="A34" s="93" t="s">
        <v>361</v>
      </c>
      <c r="B34" s="92"/>
    </row>
    <row r="35" spans="1:2" ht="57.6">
      <c r="A35" s="93" t="s">
        <v>362</v>
      </c>
      <c r="B35" s="92"/>
    </row>
    <row r="36" spans="1:2">
      <c r="A36" s="163"/>
      <c r="B36" s="92"/>
    </row>
    <row r="37" spans="1:2">
      <c r="A37" s="164" t="s">
        <v>363</v>
      </c>
      <c r="B37" s="92"/>
    </row>
    <row r="38" spans="1:2" ht="28.9">
      <c r="A38" s="93" t="s">
        <v>364</v>
      </c>
      <c r="B38" s="92"/>
    </row>
    <row r="39" spans="1:2">
      <c r="A39" s="93" t="s">
        <v>365</v>
      </c>
      <c r="B39" s="92"/>
    </row>
    <row r="40" spans="1:2">
      <c r="A40" s="93" t="s">
        <v>366</v>
      </c>
      <c r="B40" s="92"/>
    </row>
    <row r="41" spans="1:2">
      <c r="A41" s="93" t="s">
        <v>367</v>
      </c>
      <c r="B41" s="92"/>
    </row>
    <row r="42" spans="1:2">
      <c r="A42" s="93" t="s">
        <v>368</v>
      </c>
      <c r="B42" s="92"/>
    </row>
    <row r="43" spans="1:2">
      <c r="A43" s="93" t="s">
        <v>369</v>
      </c>
      <c r="B43" s="92"/>
    </row>
    <row r="44" spans="1:2">
      <c r="A44" s="93" t="s">
        <v>370</v>
      </c>
      <c r="B44" s="8"/>
    </row>
    <row r="45" spans="1:2">
      <c r="A45" s="93" t="s">
        <v>371</v>
      </c>
      <c r="B45" s="8"/>
    </row>
    <row r="46" spans="1:2" ht="72">
      <c r="A46" s="93" t="s">
        <v>372</v>
      </c>
      <c r="B46" s="8"/>
    </row>
    <row r="47" spans="1:2">
      <c r="A47" s="92"/>
      <c r="B47" s="8"/>
    </row>
    <row r="48" spans="1:2">
      <c r="A48" s="92"/>
      <c r="B48" s="8"/>
    </row>
    <row r="49" spans="1:2">
      <c r="A49" s="92"/>
      <c r="B49" s="8"/>
    </row>
    <row r="50" spans="1:2">
      <c r="A50" s="92"/>
    </row>
    <row r="51" spans="1:2">
      <c r="A51" s="92"/>
    </row>
    <row r="52" spans="1:2">
      <c r="A52" s="8"/>
    </row>
    <row r="53" spans="1:2">
      <c r="A53" s="8"/>
    </row>
    <row r="54" spans="1:2">
      <c r="A54" s="8"/>
    </row>
    <row r="55" spans="1:2">
      <c r="A55" s="8"/>
    </row>
    <row r="56" spans="1:2">
      <c r="A56" s="8"/>
    </row>
    <row r="57" spans="1:2">
      <c r="A57"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06CE75CD28824A9809075FA171DC82" ma:contentTypeVersion="27" ma:contentTypeDescription="Create a new document." ma:contentTypeScope="" ma:versionID="762fc1cb060dc9aa39238c78c4ad4fe0">
  <xsd:schema xmlns:xsd="http://www.w3.org/2001/XMLSchema" xmlns:xs="http://www.w3.org/2001/XMLSchema" xmlns:p="http://schemas.microsoft.com/office/2006/metadata/properties" xmlns:ns2="64bc1f3b-d1d7-4968-9455-37c9642e05d6" xmlns:ns3="d835ab29-009a-4d68-a7d1-812f7abfaded" targetNamespace="http://schemas.microsoft.com/office/2006/metadata/properties" ma:root="true" ma:fieldsID="a3b7b06ea6e4a53a32c71aaf46d0b7ff" ns2:_="" ns3:_="">
    <xsd:import namespace="64bc1f3b-d1d7-4968-9455-37c9642e05d6"/>
    <xsd:import namespace="d835ab29-009a-4d68-a7d1-812f7abfad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Link" minOccurs="0"/>
                <xsd:element ref="ns2:FileLocation" minOccurs="0"/>
                <xsd:element ref="ns2:d18cee2b-6d33-4aa1-836c-11414093658aCountryOrRegion" minOccurs="0"/>
                <xsd:element ref="ns2:d18cee2b-6d33-4aa1-836c-11414093658aState" minOccurs="0"/>
                <xsd:element ref="ns2:d18cee2b-6d33-4aa1-836c-11414093658aCity" minOccurs="0"/>
                <xsd:element ref="ns2:d18cee2b-6d33-4aa1-836c-11414093658aPostalCode" minOccurs="0"/>
                <xsd:element ref="ns2:d18cee2b-6d33-4aa1-836c-11414093658aStreet" minOccurs="0"/>
                <xsd:element ref="ns2:d18cee2b-6d33-4aa1-836c-11414093658aGeoLoc" minOccurs="0"/>
                <xsd:element ref="ns2:d18cee2b-6d33-4aa1-836c-11414093658aDispName"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c1f3b-d1d7-4968-9455-37c9642e05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ink" ma:index="20"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FileLocation" ma:index="21" nillable="true" ma:displayName="File Location" ma:format="Dropdown" ma:internalName="FileLocation">
      <xsd:simpleType>
        <xsd:restriction base="dms:Unknown"/>
      </xsd:simpleType>
    </xsd:element>
    <xsd:element name="d18cee2b-6d33-4aa1-836c-11414093658aCountryOrRegion" ma:index="22" nillable="true" ma:displayName="File Location: Country/Region" ma:internalName="CountryOrRegion" ma:readOnly="true">
      <xsd:simpleType>
        <xsd:restriction base="dms:Text"/>
      </xsd:simpleType>
    </xsd:element>
    <xsd:element name="d18cee2b-6d33-4aa1-836c-11414093658aState" ma:index="23" nillable="true" ma:displayName="File Location: State" ma:internalName="State" ma:readOnly="true">
      <xsd:simpleType>
        <xsd:restriction base="dms:Text"/>
      </xsd:simpleType>
    </xsd:element>
    <xsd:element name="d18cee2b-6d33-4aa1-836c-11414093658aCity" ma:index="24" nillable="true" ma:displayName="File Location: City" ma:internalName="City" ma:readOnly="true">
      <xsd:simpleType>
        <xsd:restriction base="dms:Text"/>
      </xsd:simpleType>
    </xsd:element>
    <xsd:element name="d18cee2b-6d33-4aa1-836c-11414093658aPostalCode" ma:index="25" nillable="true" ma:displayName="File Location: Postal Code" ma:internalName="PostalCode" ma:readOnly="true">
      <xsd:simpleType>
        <xsd:restriction base="dms:Text"/>
      </xsd:simpleType>
    </xsd:element>
    <xsd:element name="d18cee2b-6d33-4aa1-836c-11414093658aStreet" ma:index="26" nillable="true" ma:displayName="File Location: Street" ma:internalName="Street" ma:readOnly="true">
      <xsd:simpleType>
        <xsd:restriction base="dms:Text"/>
      </xsd:simpleType>
    </xsd:element>
    <xsd:element name="d18cee2b-6d33-4aa1-836c-11414093658aGeoLoc" ma:index="27" nillable="true" ma:displayName="File Location: Coordinates" ma:internalName="GeoLoc" ma:readOnly="true">
      <xsd:simpleType>
        <xsd:restriction base="dms:Unknown"/>
      </xsd:simpleType>
    </xsd:element>
    <xsd:element name="d18cee2b-6d33-4aa1-836c-11414093658aDispName" ma:index="28" nillable="true" ma:displayName="File Location: Name" ma:internalName="DispName" ma:readOnly="true">
      <xsd:simpleType>
        <xsd:restriction base="dms:Text"/>
      </xsd:simpleType>
    </xsd:element>
    <xsd:element name="MediaLengthInSeconds" ma:index="29" nillable="true" ma:displayName="Length (seconds)"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09404757-8fa5-46b1-9620-9e2a0d3f35ae" ma:termSetId="09814cd3-568e-fe90-9814-8d621ff8fb84" ma:anchorId="fba54fb3-c3e1-fe81-a776-ca4b69148c4d" ma:open="true" ma:isKeyword="false">
      <xsd:complexType>
        <xsd:sequence>
          <xsd:element ref="pc:Terms" minOccurs="0" maxOccurs="1"/>
        </xsd:sequence>
      </xsd:complex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ObjectDetectorVersions" ma:index="3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35ab29-009a-4d68-a7d1-812f7abfad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32" nillable="true" ma:displayName="Taxonomy Catch All Column" ma:hidden="true" ma:list="{d5ac270b-3521-49e9-9f93-472c94548138}" ma:internalName="TaxCatchAll" ma:showField="CatchAllData" ma:web="d835ab29-009a-4d68-a7d1-812f7abfad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835ab29-009a-4d68-a7d1-812f7abfaded">
      <UserInfo>
        <DisplayName>Joshua Langemann</DisplayName>
        <AccountId>6</AccountId>
        <AccountType/>
      </UserInfo>
      <UserInfo>
        <DisplayName>Mauri Douglas</DisplayName>
        <AccountId>429</AccountId>
        <AccountType/>
      </UserInfo>
      <UserInfo>
        <DisplayName>Scott Stickel</DisplayName>
        <AccountId>17</AccountId>
        <AccountType/>
      </UserInfo>
    </SharedWithUsers>
    <Link xmlns="64bc1f3b-d1d7-4968-9455-37c9642e05d6">
      <Url xsi:nil="true"/>
      <Description xsi:nil="true"/>
    </Link>
    <FileLocation xmlns="64bc1f3b-d1d7-4968-9455-37c9642e05d6" xsi:nil="true"/>
    <TaxCatchAll xmlns="d835ab29-009a-4d68-a7d1-812f7abfaded" xsi:nil="true"/>
    <lcf76f155ced4ddcb4097134ff3c332f xmlns="64bc1f3b-d1d7-4968-9455-37c9642e05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17ADF8-C734-44F4-BBE9-7C69261A40C7}"/>
</file>

<file path=customXml/itemProps2.xml><?xml version="1.0" encoding="utf-8"?>
<ds:datastoreItem xmlns:ds="http://schemas.openxmlformats.org/officeDocument/2006/customXml" ds:itemID="{BA47476F-4A9F-4B74-AD20-79ED5517150C}"/>
</file>

<file path=customXml/itemProps3.xml><?xml version="1.0" encoding="utf-8"?>
<ds:datastoreItem xmlns:ds="http://schemas.openxmlformats.org/officeDocument/2006/customXml" ds:itemID="{58289A73-F442-4E86-AFE2-C99126481B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Langemann</dc:creator>
  <cp:keywords/>
  <dc:description/>
  <cp:lastModifiedBy>Brigette Swartz</cp:lastModifiedBy>
  <cp:revision/>
  <dcterms:created xsi:type="dcterms:W3CDTF">2015-06-18T10:28:04Z</dcterms:created>
  <dcterms:modified xsi:type="dcterms:W3CDTF">2025-12-04T15:22:10Z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0x010100C706CE75CD28824A9809075FA171DC82</vt:lpwstr>
  </property>
  <property fmtid="{D5CDD505-2E9C-101B-9397-08002B2CF9AE}" pid="3" name="MediaServiceImageTags">
    <vt:lpwstr/>
  </property>
</Properties>
</file>